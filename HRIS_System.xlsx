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Master" sheetId="1" state="visible" r:id="rId1"/>
    <sheet xmlns:r="http://schemas.openxmlformats.org/officeDocument/2006/relationships" name="Attendance Tracker" sheetId="2" state="visible" r:id="rId2"/>
    <sheet xmlns:r="http://schemas.openxmlformats.org/officeDocument/2006/relationships" name="Onboarding Pipeline" sheetId="3" state="visible" r:id="rId3"/>
    <sheet xmlns:r="http://schemas.openxmlformats.org/officeDocument/2006/relationships" name="Leave Management" sheetId="4" state="visible" r:id="rId4"/>
    <sheet xmlns:r="http://schemas.openxmlformats.org/officeDocument/2006/relationships" name="HR Dashboard" sheetId="5" state="visible" r:id="rId5"/>
    <sheet xmlns:r="http://schemas.openxmlformats.org/officeDocument/2006/relationships" name="Leave Bal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"/>
    <numFmt numFmtId="166" formatCode="₹#,##0"/>
    <numFmt numFmtId="167" formatCode="0.0"/>
  </numFmts>
  <fonts count="14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FF"/>
    </font>
    <font>
      <b val="1"/>
      <color rgb="00006100"/>
    </font>
    <font>
      <color rgb="009C0006"/>
    </font>
    <font>
      <color rgb="00006100"/>
    </font>
    <font>
      <color rgb="009C5700"/>
    </font>
    <font>
      <b val="1"/>
      <color rgb="009C0006"/>
    </font>
    <font>
      <b val="1"/>
      <color rgb="009C5700"/>
    </font>
    <font>
      <b val="1"/>
      <color rgb="001F4E78"/>
      <sz val="16"/>
    </font>
    <font>
      <b val="1"/>
    </font>
    <font>
      <b val="1"/>
      <color rgb="001F4E78"/>
      <sz val="12"/>
    </font>
    <font>
      <color rgb="000000FF"/>
      <sz val="12"/>
    </font>
    <font>
      <b val="1"/>
      <color rgb="000000FF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2" fillId="0" borderId="0" pivotButton="0" quotePrefix="0" xfId="0"/>
    <xf numFmtId="0" fontId="3" fillId="3" borderId="0" pivotButton="0" quotePrefix="0" xfId="0"/>
    <xf numFmtId="167" fontId="0" fillId="0" borderId="0" pivotButton="0" quotePrefix="0" xfId="0"/>
    <xf numFmtId="0" fontId="4" fillId="4" borderId="0" pivotButton="0" quotePrefix="0" xfId="0"/>
    <xf numFmtId="0" fontId="5" fillId="3" borderId="0" pivotButton="0" quotePrefix="0" xfId="0"/>
    <xf numFmtId="0" fontId="6" fillId="5" borderId="0" pivotButton="0" quotePrefix="0" xfId="0"/>
    <xf numFmtId="9" fontId="0" fillId="0" borderId="0" pivotButton="0" quotePrefix="0" xfId="0"/>
    <xf numFmtId="1" fontId="0" fillId="0" borderId="0" pivotButton="0" quotePrefix="0" xfId="0"/>
    <xf numFmtId="0" fontId="7" fillId="4" borderId="0" pivotButton="0" quotePrefix="0" xfId="0"/>
    <xf numFmtId="0" fontId="8" fillId="5" borderId="0" pivotButton="0" quotePrefix="0" xfId="0"/>
    <xf numFmtId="0" fontId="9" fillId="0" borderId="0" applyAlignment="1" pivotButton="0" quotePrefix="0" xfId="0">
      <alignment horizontal="center" vertical="center"/>
    </xf>
    <xf numFmtId="165" fontId="10" fillId="0" borderId="0" pivotButton="0" quotePrefix="0" xfId="0"/>
    <xf numFmtId="0" fontId="11" fillId="0" borderId="0" pivotButton="0" quotePrefix="0" xfId="0"/>
    <xf numFmtId="0" fontId="10" fillId="0" borderId="0" pivotButton="0" quotePrefix="0" xfId="0"/>
    <xf numFmtId="0" fontId="12" fillId="0" borderId="0" applyAlignment="1" pivotButton="0" quotePrefix="0" xfId="0">
      <alignment horizontal="right"/>
    </xf>
    <xf numFmtId="167" fontId="12" fillId="0" borderId="0" applyAlignment="1" pivotButton="0" quotePrefix="0" xfId="0">
      <alignment horizontal="right"/>
    </xf>
    <xf numFmtId="0" fontId="10" fillId="6" borderId="0" applyAlignment="1" pivotButton="0" quotePrefix="0" xfId="0">
      <alignment horizontal="center"/>
    </xf>
    <xf numFmtId="166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5" customWidth="1" min="4" max="4"/>
    <col width="14" customWidth="1" min="5" max="5"/>
    <col width="20" customWidth="1" min="6" max="6"/>
    <col width="15" customWidth="1" min="7" max="7"/>
    <col width="16" customWidth="1" min="8" max="8"/>
    <col width="16" customWidth="1" min="9" max="9"/>
    <col width="12" customWidth="1" min="10" max="10"/>
    <col width="12" customWidth="1" min="11" max="11"/>
    <col width="18" customWidth="1" min="12" max="12"/>
    <col width="16" customWidth="1" min="13" max="13"/>
    <col width="10" customWidth="1" min="14" max="14"/>
  </cols>
  <sheetData>
    <row r="1">
      <c r="A1" s="1" t="inlineStr">
        <is>
          <t>Employee ID</t>
        </is>
      </c>
      <c r="B1" s="1" t="inlineStr">
        <is>
          <t>Full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Department</t>
        </is>
      </c>
      <c r="F1" s="1" t="inlineStr">
        <is>
          <t>Job Title</t>
        </is>
      </c>
      <c r="G1" s="1" t="inlineStr">
        <is>
          <t>Employment Type</t>
        </is>
      </c>
      <c r="H1" s="1" t="inlineStr">
        <is>
          <t>Date of Joining</t>
        </is>
      </c>
      <c r="I1" s="1" t="inlineStr">
        <is>
          <t>Manager</t>
        </is>
      </c>
      <c r="J1" s="1" t="inlineStr">
        <is>
          <t>Location</t>
        </is>
      </c>
      <c r="K1" s="1" t="inlineStr">
        <is>
          <t>Salary</t>
        </is>
      </c>
      <c r="L1" s="1" t="inlineStr">
        <is>
          <t>Emergency Contact</t>
        </is>
      </c>
      <c r="M1" s="1" t="inlineStr">
        <is>
          <t>Emergency Phone</t>
        </is>
      </c>
      <c r="N1" s="1" t="inlineStr">
        <is>
          <t>Status</t>
        </is>
      </c>
    </row>
    <row r="2">
      <c r="A2" t="inlineStr">
        <is>
          <t>EMP001</t>
        </is>
      </c>
      <c r="B2" t="inlineStr">
        <is>
          <t>Rajesh Kumar</t>
        </is>
      </c>
      <c r="C2" t="inlineStr">
        <is>
          <t>rajesh.kumar@company.com</t>
        </is>
      </c>
      <c r="D2" t="inlineStr">
        <is>
          <t>9876543210</t>
        </is>
      </c>
      <c r="E2" t="inlineStr">
        <is>
          <t>Engineering</t>
        </is>
      </c>
      <c r="F2" t="inlineStr">
        <is>
          <t>Senior Engineer</t>
        </is>
      </c>
      <c r="G2" t="inlineStr">
        <is>
          <t>Full-Time</t>
        </is>
      </c>
      <c r="H2" s="2" t="n">
        <v>44635</v>
      </c>
      <c r="I2" t="inlineStr">
        <is>
          <t>Amit Sharma</t>
        </is>
      </c>
      <c r="J2" t="inlineStr">
        <is>
          <t>Bangalore</t>
        </is>
      </c>
      <c r="K2" s="3" t="n">
        <v>95000</v>
      </c>
      <c r="L2" t="inlineStr">
        <is>
          <t>Priya Kumar</t>
        </is>
      </c>
      <c r="M2" t="inlineStr">
        <is>
          <t>9876543211</t>
        </is>
      </c>
      <c r="N2" s="4" t="inlineStr">
        <is>
          <t>Active</t>
        </is>
      </c>
    </row>
    <row r="3">
      <c r="A3" t="inlineStr">
        <is>
          <t>EMP002</t>
        </is>
      </c>
      <c r="B3" t="inlineStr">
        <is>
          <t>Priya Sharma</t>
        </is>
      </c>
      <c r="C3" t="inlineStr">
        <is>
          <t>priya.sharma@company.com</t>
        </is>
      </c>
      <c r="D3" t="inlineStr">
        <is>
          <t>9876543212</t>
        </is>
      </c>
      <c r="E3" t="inlineStr">
        <is>
          <t>Sales</t>
        </is>
      </c>
      <c r="F3" t="inlineStr">
        <is>
          <t>Sales Manager</t>
        </is>
      </c>
      <c r="G3" t="inlineStr">
        <is>
          <t>Full-Time</t>
        </is>
      </c>
      <c r="H3" s="2" t="n">
        <v>44348</v>
      </c>
      <c r="I3" t="inlineStr">
        <is>
          <t>Vikram Singh</t>
        </is>
      </c>
      <c r="J3" t="inlineStr">
        <is>
          <t>Mumbai</t>
        </is>
      </c>
      <c r="K3" s="3" t="n">
        <v>85000</v>
      </c>
      <c r="L3" t="inlineStr">
        <is>
          <t>Rahul Sharma</t>
        </is>
      </c>
      <c r="M3" t="inlineStr">
        <is>
          <t>9876543213</t>
        </is>
      </c>
      <c r="N3" s="4" t="inlineStr">
        <is>
          <t>Active</t>
        </is>
      </c>
    </row>
    <row r="4">
      <c r="A4" t="inlineStr">
        <is>
          <t>EMP003</t>
        </is>
      </c>
      <c r="B4" t="inlineStr">
        <is>
          <t>Amit Patel</t>
        </is>
      </c>
      <c r="C4" t="inlineStr">
        <is>
          <t>amit.patel@company.com</t>
        </is>
      </c>
      <c r="D4" t="inlineStr">
        <is>
          <t>9876543214</t>
        </is>
      </c>
      <c r="E4" t="inlineStr">
        <is>
          <t>Marketing</t>
        </is>
      </c>
      <c r="F4" t="inlineStr">
        <is>
          <t>Marketing Manager</t>
        </is>
      </c>
      <c r="G4" t="inlineStr">
        <is>
          <t>Full-Time</t>
        </is>
      </c>
      <c r="H4" s="2" t="n">
        <v>43850</v>
      </c>
      <c r="I4" t="inlineStr">
        <is>
          <t>Neha Gupta</t>
        </is>
      </c>
      <c r="J4" t="inlineStr">
        <is>
          <t>Delhi</t>
        </is>
      </c>
      <c r="K4" s="3" t="n">
        <v>78000</v>
      </c>
      <c r="L4" t="inlineStr">
        <is>
          <t>Sneha Patel</t>
        </is>
      </c>
      <c r="M4" t="inlineStr">
        <is>
          <t>9876543215</t>
        </is>
      </c>
      <c r="N4" s="4" t="inlineStr">
        <is>
          <t>Active</t>
        </is>
      </c>
    </row>
    <row r="5">
      <c r="A5" t="inlineStr">
        <is>
          <t>EMP004</t>
        </is>
      </c>
      <c r="B5" t="inlineStr">
        <is>
          <t>Neha Singh</t>
        </is>
      </c>
      <c r="C5" t="inlineStr">
        <is>
          <t>neha.singh@company.com</t>
        </is>
      </c>
      <c r="D5" t="inlineStr">
        <is>
          <t>9876543216</t>
        </is>
      </c>
      <c r="E5" t="inlineStr">
        <is>
          <t>HR</t>
        </is>
      </c>
      <c r="F5" t="inlineStr">
        <is>
          <t>HR Manager</t>
        </is>
      </c>
      <c r="G5" t="inlineStr">
        <is>
          <t>Full-Time</t>
        </is>
      </c>
      <c r="H5" s="2" t="n">
        <v>43718</v>
      </c>
      <c r="I5" t="inlineStr">
        <is>
          <t>CEO</t>
        </is>
      </c>
      <c r="J5" t="inlineStr">
        <is>
          <t>Bangalore</t>
        </is>
      </c>
      <c r="K5" s="3" t="n">
        <v>92000</v>
      </c>
      <c r="L5" t="inlineStr">
        <is>
          <t>Karan Singh</t>
        </is>
      </c>
      <c r="M5" t="inlineStr">
        <is>
          <t>9876543217</t>
        </is>
      </c>
      <c r="N5" s="4" t="inlineStr">
        <is>
          <t>Active</t>
        </is>
      </c>
    </row>
    <row r="6">
      <c r="A6" t="inlineStr">
        <is>
          <t>EMP005</t>
        </is>
      </c>
      <c r="B6" t="inlineStr">
        <is>
          <t>Vikram Reddy</t>
        </is>
      </c>
      <c r="C6" t="inlineStr">
        <is>
          <t>vikram.reddy@company.com</t>
        </is>
      </c>
      <c r="D6" t="inlineStr">
        <is>
          <t>9876543218</t>
        </is>
      </c>
      <c r="E6" t="inlineStr">
        <is>
          <t>Finance</t>
        </is>
      </c>
      <c r="F6" t="inlineStr">
        <is>
          <t>Finance Manager</t>
        </is>
      </c>
      <c r="G6" t="inlineStr">
        <is>
          <t>Full-Time</t>
        </is>
      </c>
      <c r="H6" s="2" t="n">
        <v>44505</v>
      </c>
      <c r="I6" t="inlineStr">
        <is>
          <t>CFO</t>
        </is>
      </c>
      <c r="J6" t="inlineStr">
        <is>
          <t>Hyderabad</t>
        </is>
      </c>
      <c r="K6" s="3" t="n">
        <v>98000</v>
      </c>
      <c r="L6" t="inlineStr">
        <is>
          <t>Lakshmi Reddy</t>
        </is>
      </c>
      <c r="M6" t="inlineStr">
        <is>
          <t>9876543219</t>
        </is>
      </c>
      <c r="N6" s="4" t="inlineStr">
        <is>
          <t>Active</t>
        </is>
      </c>
    </row>
    <row r="7">
      <c r="A7" t="inlineStr">
        <is>
          <t>EMP006</t>
        </is>
      </c>
      <c r="B7" t="inlineStr">
        <is>
          <t>Ananya Iyer</t>
        </is>
      </c>
      <c r="C7" t="inlineStr">
        <is>
          <t>ananya.iyer@company.com</t>
        </is>
      </c>
      <c r="D7" t="inlineStr">
        <is>
          <t>9876543220</t>
        </is>
      </c>
      <c r="E7" t="inlineStr">
        <is>
          <t>Engineering</t>
        </is>
      </c>
      <c r="F7" t="inlineStr">
        <is>
          <t>Software Engineer</t>
        </is>
      </c>
      <c r="G7" t="inlineStr">
        <is>
          <t>Full-Time</t>
        </is>
      </c>
      <c r="H7" s="2" t="n">
        <v>44971</v>
      </c>
      <c r="I7" t="inlineStr">
        <is>
          <t>Rajesh Kumar</t>
        </is>
      </c>
      <c r="J7" t="inlineStr">
        <is>
          <t>Bangalore</t>
        </is>
      </c>
      <c r="K7" s="3" t="n">
        <v>72000</v>
      </c>
      <c r="L7" t="inlineStr">
        <is>
          <t>Suresh Iyer</t>
        </is>
      </c>
      <c r="M7" t="inlineStr">
        <is>
          <t>9876543221</t>
        </is>
      </c>
      <c r="N7" s="4" t="inlineStr">
        <is>
          <t>Active</t>
        </is>
      </c>
    </row>
    <row r="8">
      <c r="A8" t="inlineStr">
        <is>
          <t>EMP007</t>
        </is>
      </c>
      <c r="B8" t="inlineStr">
        <is>
          <t>Karthik Menon</t>
        </is>
      </c>
      <c r="C8" t="inlineStr">
        <is>
          <t>karthik.menon@company.com</t>
        </is>
      </c>
      <c r="D8" t="inlineStr">
        <is>
          <t>9876543222</t>
        </is>
      </c>
      <c r="E8" t="inlineStr">
        <is>
          <t>Sales</t>
        </is>
      </c>
      <c r="F8" t="inlineStr">
        <is>
          <t>Sales Executive</t>
        </is>
      </c>
      <c r="G8" t="inlineStr">
        <is>
          <t>Full-Time</t>
        </is>
      </c>
      <c r="H8" s="2" t="n">
        <v>45054</v>
      </c>
      <c r="I8" t="inlineStr">
        <is>
          <t>Priya Sharma</t>
        </is>
      </c>
      <c r="J8" t="inlineStr">
        <is>
          <t>Pune</t>
        </is>
      </c>
      <c r="K8" s="3" t="n">
        <v>55000</v>
      </c>
      <c r="L8" t="inlineStr">
        <is>
          <t>Meera Menon</t>
        </is>
      </c>
      <c r="M8" t="inlineStr">
        <is>
          <t>9876543223</t>
        </is>
      </c>
      <c r="N8" s="4" t="inlineStr">
        <is>
          <t>Active</t>
        </is>
      </c>
    </row>
    <row r="9">
      <c r="A9" t="inlineStr">
        <is>
          <t>EMP008</t>
        </is>
      </c>
      <c r="B9" t="inlineStr">
        <is>
          <t>Divya Nair</t>
        </is>
      </c>
      <c r="C9" t="inlineStr">
        <is>
          <t>divya.nair@company.com</t>
        </is>
      </c>
      <c r="D9" t="inlineStr">
        <is>
          <t>9876543224</t>
        </is>
      </c>
      <c r="E9" t="inlineStr">
        <is>
          <t>Marketing</t>
        </is>
      </c>
      <c r="F9" t="inlineStr">
        <is>
          <t>Digital Marketer</t>
        </is>
      </c>
      <c r="G9" t="inlineStr">
        <is>
          <t>Contract</t>
        </is>
      </c>
      <c r="H9" s="2" t="n">
        <v>45139</v>
      </c>
      <c r="I9" t="inlineStr">
        <is>
          <t>Amit Patel</t>
        </is>
      </c>
      <c r="J9" t="inlineStr">
        <is>
          <t>Mumbai</t>
        </is>
      </c>
      <c r="K9" s="3" t="n">
        <v>48000</v>
      </c>
      <c r="L9" t="inlineStr">
        <is>
          <t>Anil Nair</t>
        </is>
      </c>
      <c r="M9" t="inlineStr">
        <is>
          <t>9876543225</t>
        </is>
      </c>
      <c r="N9" s="4" t="inlineStr">
        <is>
          <t>Active</t>
        </is>
      </c>
    </row>
    <row r="10">
      <c r="A10" t="inlineStr">
        <is>
          <t>EMP009</t>
        </is>
      </c>
      <c r="B10" t="inlineStr">
        <is>
          <t>Rahul Verma</t>
        </is>
      </c>
      <c r="C10" t="inlineStr">
        <is>
          <t>rahul.verma@company.com</t>
        </is>
      </c>
      <c r="D10" t="inlineStr">
        <is>
          <t>9876543226</t>
        </is>
      </c>
      <c r="E10" t="inlineStr">
        <is>
          <t>Engineering</t>
        </is>
      </c>
      <c r="F10" t="inlineStr">
        <is>
          <t>QA Engineer</t>
        </is>
      </c>
      <c r="G10" t="inlineStr">
        <is>
          <t>Full-Time</t>
        </is>
      </c>
      <c r="H10" s="2" t="n">
        <v>44905</v>
      </c>
      <c r="I10" t="inlineStr">
        <is>
          <t>Rajesh Kumar</t>
        </is>
      </c>
      <c r="J10" t="inlineStr">
        <is>
          <t>Delhi</t>
        </is>
      </c>
      <c r="K10" s="3" t="n">
        <v>68000</v>
      </c>
      <c r="L10" t="inlineStr">
        <is>
          <t>Pooja Verma</t>
        </is>
      </c>
      <c r="M10" t="inlineStr">
        <is>
          <t>9876543227</t>
        </is>
      </c>
      <c r="N10" s="4" t="inlineStr">
        <is>
          <t>Active</t>
        </is>
      </c>
    </row>
    <row r="11">
      <c r="A11" t="inlineStr">
        <is>
          <t>EMP010</t>
        </is>
      </c>
      <c r="B11" t="inlineStr">
        <is>
          <t>Sneha Desai</t>
        </is>
      </c>
      <c r="C11" t="inlineStr">
        <is>
          <t>sneha.desai@company.com</t>
        </is>
      </c>
      <c r="D11" t="inlineStr">
        <is>
          <t>9876543228</t>
        </is>
      </c>
      <c r="E11" t="inlineStr">
        <is>
          <t>HR</t>
        </is>
      </c>
      <c r="F11" t="inlineStr">
        <is>
          <t>Recruiter</t>
        </is>
      </c>
      <c r="G11" t="inlineStr">
        <is>
          <t>Full-Time</t>
        </is>
      </c>
      <c r="H11" s="2" t="n">
        <v>45005</v>
      </c>
      <c r="I11" t="inlineStr">
        <is>
          <t>Neha Singh</t>
        </is>
      </c>
      <c r="J11" t="inlineStr">
        <is>
          <t>Bangalore</t>
        </is>
      </c>
      <c r="K11" s="3" t="n">
        <v>52000</v>
      </c>
      <c r="L11" t="inlineStr">
        <is>
          <t>Nitin Desai</t>
        </is>
      </c>
      <c r="M11" t="inlineStr">
        <is>
          <t>9876543229</t>
        </is>
      </c>
      <c r="N11" s="4" t="inlineStr">
        <is>
          <t>Active</t>
        </is>
      </c>
    </row>
    <row r="12">
      <c r="A12" t="inlineStr">
        <is>
          <t>EMP011</t>
        </is>
      </c>
      <c r="B12" t="inlineStr">
        <is>
          <t>Arjun Kapoor</t>
        </is>
      </c>
      <c r="C12" t="inlineStr">
        <is>
          <t>arjun.kapoor@company.com</t>
        </is>
      </c>
      <c r="D12" t="inlineStr">
        <is>
          <t>9876543230</t>
        </is>
      </c>
      <c r="E12" t="inlineStr">
        <is>
          <t>Operations</t>
        </is>
      </c>
      <c r="F12" t="inlineStr">
        <is>
          <t>Operations Manager</t>
        </is>
      </c>
      <c r="G12" t="inlineStr">
        <is>
          <t>Full-Time</t>
        </is>
      </c>
      <c r="H12" s="2" t="n">
        <v>44392</v>
      </c>
      <c r="I12" t="inlineStr">
        <is>
          <t>COO</t>
        </is>
      </c>
      <c r="J12" t="inlineStr">
        <is>
          <t>Mumbai</t>
        </is>
      </c>
      <c r="K12" s="3" t="n">
        <v>88000</v>
      </c>
      <c r="L12" t="inlineStr">
        <is>
          <t>Kavita Kapoor</t>
        </is>
      </c>
      <c r="M12" t="inlineStr">
        <is>
          <t>9876543231</t>
        </is>
      </c>
      <c r="N12" s="4" t="inlineStr">
        <is>
          <t>Active</t>
        </is>
      </c>
    </row>
    <row r="13">
      <c r="A13" t="inlineStr">
        <is>
          <t>EMP012</t>
        </is>
      </c>
      <c r="B13" t="inlineStr">
        <is>
          <t>Pooja Agarwal</t>
        </is>
      </c>
      <c r="C13" t="inlineStr">
        <is>
          <t>pooja.agarwal@company.com</t>
        </is>
      </c>
      <c r="D13" t="inlineStr">
        <is>
          <t>9876543232</t>
        </is>
      </c>
      <c r="E13" t="inlineStr">
        <is>
          <t>Finance</t>
        </is>
      </c>
      <c r="F13" t="inlineStr">
        <is>
          <t>Accountant</t>
        </is>
      </c>
      <c r="G13" t="inlineStr">
        <is>
          <t>Full-Time</t>
        </is>
      </c>
      <c r="H13" s="2" t="n">
        <v>44809</v>
      </c>
      <c r="I13" t="inlineStr">
        <is>
          <t>Vikram Reddy</t>
        </is>
      </c>
      <c r="J13" t="inlineStr">
        <is>
          <t>Hyderabad</t>
        </is>
      </c>
      <c r="K13" s="3" t="n">
        <v>58000</v>
      </c>
      <c r="L13" t="inlineStr">
        <is>
          <t>Ravi Agarwal</t>
        </is>
      </c>
      <c r="M13" t="inlineStr">
        <is>
          <t>9876543233</t>
        </is>
      </c>
      <c r="N13" s="4" t="inlineStr">
        <is>
          <t>Active</t>
        </is>
      </c>
    </row>
    <row r="14">
      <c r="A14" t="inlineStr">
        <is>
          <t>EMP013</t>
        </is>
      </c>
      <c r="B14" t="inlineStr">
        <is>
          <t>Rohan Joshi</t>
        </is>
      </c>
      <c r="C14" t="inlineStr">
        <is>
          <t>rohan.joshi@company.com</t>
        </is>
      </c>
      <c r="D14" t="inlineStr">
        <is>
          <t>9876543234</t>
        </is>
      </c>
      <c r="E14" t="inlineStr">
        <is>
          <t>Engineering</t>
        </is>
      </c>
      <c r="F14" t="inlineStr">
        <is>
          <t>Tech Lead</t>
        </is>
      </c>
      <c r="G14" t="inlineStr">
        <is>
          <t>Full-Time</t>
        </is>
      </c>
      <c r="H14" s="2" t="n">
        <v>43933</v>
      </c>
      <c r="I14" t="inlineStr">
        <is>
          <t>Amit Sharma</t>
        </is>
      </c>
      <c r="J14" t="inlineStr">
        <is>
          <t>Pune</t>
        </is>
      </c>
      <c r="K14" s="3" t="n">
        <v>105000</v>
      </c>
      <c r="L14" t="inlineStr">
        <is>
          <t>Anjali Joshi</t>
        </is>
      </c>
      <c r="M14" t="inlineStr">
        <is>
          <t>9876543235</t>
        </is>
      </c>
      <c r="N14" s="4" t="inlineStr">
        <is>
          <t>Active</t>
        </is>
      </c>
    </row>
    <row r="15">
      <c r="A15" t="inlineStr">
        <is>
          <t>EMP014</t>
        </is>
      </c>
      <c r="B15" t="inlineStr">
        <is>
          <t>Kavya Pillai</t>
        </is>
      </c>
      <c r="C15" t="inlineStr">
        <is>
          <t>kavya.pillai@company.com</t>
        </is>
      </c>
      <c r="D15" t="inlineStr">
        <is>
          <t>9876543236</t>
        </is>
      </c>
      <c r="E15" t="inlineStr">
        <is>
          <t>Sales</t>
        </is>
      </c>
      <c r="F15" t="inlineStr">
        <is>
          <t>Account Manager</t>
        </is>
      </c>
      <c r="G15" t="inlineStr">
        <is>
          <t>Full-Time</t>
        </is>
      </c>
      <c r="H15" s="2" t="n">
        <v>44944</v>
      </c>
      <c r="I15" t="inlineStr">
        <is>
          <t>Priya Sharma</t>
        </is>
      </c>
      <c r="J15" t="inlineStr">
        <is>
          <t>Bangalore</t>
        </is>
      </c>
      <c r="K15" s="3" t="n">
        <v>62000</v>
      </c>
      <c r="L15" t="inlineStr">
        <is>
          <t>Sunil Pillai</t>
        </is>
      </c>
      <c r="M15" t="inlineStr">
        <is>
          <t>9876543237</t>
        </is>
      </c>
      <c r="N15" s="4" t="inlineStr">
        <is>
          <t>Active</t>
        </is>
      </c>
    </row>
    <row r="16">
      <c r="A16" t="inlineStr">
        <is>
          <t>EMP015</t>
        </is>
      </c>
      <c r="B16" t="inlineStr">
        <is>
          <t>Siddharth Roy</t>
        </is>
      </c>
      <c r="C16" t="inlineStr">
        <is>
          <t>siddharth.roy@company.com</t>
        </is>
      </c>
      <c r="D16" t="inlineStr">
        <is>
          <t>9876543238</t>
        </is>
      </c>
      <c r="E16" t="inlineStr">
        <is>
          <t>Marketing</t>
        </is>
      </c>
      <c r="F16" t="inlineStr">
        <is>
          <t>Content Writer</t>
        </is>
      </c>
      <c r="G16" t="inlineStr">
        <is>
          <t>Intern</t>
        </is>
      </c>
      <c r="H16" s="2" t="n">
        <v>45170</v>
      </c>
      <c r="I16" t="inlineStr">
        <is>
          <t>Amit Patel</t>
        </is>
      </c>
      <c r="J16" t="inlineStr">
        <is>
          <t>Delhi</t>
        </is>
      </c>
      <c r="K16" s="3" t="n">
        <v>25000</v>
      </c>
      <c r="L16" t="inlineStr">
        <is>
          <t>Meena Roy</t>
        </is>
      </c>
      <c r="M16" t="inlineStr">
        <is>
          <t>9876543239</t>
        </is>
      </c>
      <c r="N16" s="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20" customWidth="1" min="9" max="9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Date</t>
        </is>
      </c>
      <c r="D1" s="1" t="inlineStr">
        <is>
          <t>Check-In</t>
        </is>
      </c>
      <c r="E1" s="1" t="inlineStr">
        <is>
          <t>Check-Out</t>
        </is>
      </c>
      <c r="F1" s="1" t="inlineStr">
        <is>
          <t>Total Hours</t>
        </is>
      </c>
      <c r="G1" s="1" t="inlineStr">
        <is>
          <t>Status</t>
        </is>
      </c>
      <c r="H1" s="1" t="inlineStr">
        <is>
          <t>Overtime Hours</t>
        </is>
      </c>
      <c r="I1" s="1" t="inlineStr">
        <is>
          <t>Notes</t>
        </is>
      </c>
    </row>
    <row r="2">
      <c r="A2" t="inlineStr">
        <is>
          <t>EMP001</t>
        </is>
      </c>
      <c r="B2" t="inlineStr">
        <is>
          <t>Rajesh Kumar</t>
        </is>
      </c>
      <c r="C2" s="2" t="n">
        <v>46126.96581676278</v>
      </c>
      <c r="D2" t="inlineStr"/>
      <c r="E2" t="inlineStr"/>
      <c r="F2" s="5" t="inlineStr"/>
      <c r="G2" s="6" t="inlineStr">
        <is>
          <t>Absent</t>
        </is>
      </c>
      <c r="H2" s="5" t="inlineStr"/>
      <c r="I2" t="inlineStr">
        <is>
          <t>Sick leave</t>
        </is>
      </c>
    </row>
    <row r="3">
      <c r="A3" t="inlineStr">
        <is>
          <t>EMP002</t>
        </is>
      </c>
      <c r="B3" t="inlineStr">
        <is>
          <t>Priya Sharma</t>
        </is>
      </c>
      <c r="C3" s="2" t="n">
        <v>46126.96581676278</v>
      </c>
      <c r="D3" t="inlineStr">
        <is>
          <t>09:00</t>
        </is>
      </c>
      <c r="E3" t="inlineStr">
        <is>
          <t>18:00</t>
        </is>
      </c>
      <c r="F3" s="5">
        <f>(TIME(VALUE(MID(E3,1,2)),VALUE(MID(E3,4,2)),0)-TIME(VALUE(MID(D3,1,2)),VALUE(MID(D3,4,2)),0))*24</f>
        <v/>
      </c>
      <c r="G3" s="7" t="inlineStr">
        <is>
          <t>Present</t>
        </is>
      </c>
      <c r="H3" s="5">
        <f>IF(F3&gt;8,F3-8,0)</f>
        <v/>
      </c>
      <c r="I3" t="inlineStr"/>
    </row>
    <row r="4">
      <c r="A4" t="inlineStr">
        <is>
          <t>EMP003</t>
        </is>
      </c>
      <c r="B4" t="inlineStr">
        <is>
          <t>Amit Patel</t>
        </is>
      </c>
      <c r="C4" s="2" t="n">
        <v>46126.96581676278</v>
      </c>
      <c r="D4" t="inlineStr">
        <is>
          <t>09:00</t>
        </is>
      </c>
      <c r="E4" t="inlineStr">
        <is>
          <t>18:00</t>
        </is>
      </c>
      <c r="F4" s="5">
        <f>(TIME(VALUE(MID(E4,1,2)),VALUE(MID(E4,4,2)),0)-TIME(VALUE(MID(D4,1,2)),VALUE(MID(D4,4,2)),0))*24</f>
        <v/>
      </c>
      <c r="G4" s="7" t="inlineStr">
        <is>
          <t>Present</t>
        </is>
      </c>
      <c r="H4" s="5">
        <f>IF(F4&gt;8,F4-8,0)</f>
        <v/>
      </c>
      <c r="I4" t="inlineStr"/>
    </row>
    <row r="5">
      <c r="A5" t="inlineStr">
        <is>
          <t>EMP004</t>
        </is>
      </c>
      <c r="B5" t="inlineStr">
        <is>
          <t>Neha Singh</t>
        </is>
      </c>
      <c r="C5" s="2" t="n">
        <v>46126.96581676278</v>
      </c>
      <c r="D5" t="inlineStr">
        <is>
          <t>09:00</t>
        </is>
      </c>
      <c r="E5" t="inlineStr">
        <is>
          <t>13:00</t>
        </is>
      </c>
      <c r="F5" s="5">
        <f>(TIME(VALUE(MID(E5,1,2)),VALUE(MID(E5,4,2)),0)-TIME(VALUE(MID(D5,1,2)),VALUE(MID(D5,4,2)),0))*24</f>
        <v/>
      </c>
      <c r="G5" t="inlineStr">
        <is>
          <t>Half Day</t>
        </is>
      </c>
      <c r="H5" s="5">
        <f>IF(F5&gt;8,F5-8,0)</f>
        <v/>
      </c>
      <c r="I5" t="inlineStr">
        <is>
          <t>Personal work</t>
        </is>
      </c>
    </row>
    <row r="6">
      <c r="A6" t="inlineStr">
        <is>
          <t>EMP005</t>
        </is>
      </c>
      <c r="B6" t="inlineStr">
        <is>
          <t>Vikram Reddy</t>
        </is>
      </c>
      <c r="C6" s="2" t="n">
        <v>46126.96581676278</v>
      </c>
      <c r="D6" t="inlineStr"/>
      <c r="E6" t="inlineStr"/>
      <c r="F6" s="5" t="inlineStr"/>
      <c r="G6" s="6" t="inlineStr">
        <is>
          <t>Absent</t>
        </is>
      </c>
      <c r="H6" s="5" t="inlineStr"/>
      <c r="I6" t="inlineStr">
        <is>
          <t>Sick leave</t>
        </is>
      </c>
    </row>
    <row r="7">
      <c r="A7" t="inlineStr">
        <is>
          <t>EMP006</t>
        </is>
      </c>
      <c r="B7" t="inlineStr">
        <is>
          <t>Ananya Iyer</t>
        </is>
      </c>
      <c r="C7" s="2" t="n">
        <v>46126.96581676278</v>
      </c>
      <c r="D7" t="inlineStr">
        <is>
          <t>09:00</t>
        </is>
      </c>
      <c r="E7" t="inlineStr">
        <is>
          <t>18:00</t>
        </is>
      </c>
      <c r="F7" s="5">
        <f>(TIME(VALUE(MID(E7,1,2)),VALUE(MID(E7,4,2)),0)-TIME(VALUE(MID(D7,1,2)),VALUE(MID(D7,4,2)),0))*24</f>
        <v/>
      </c>
      <c r="G7" s="7" t="inlineStr">
        <is>
          <t>Present</t>
        </is>
      </c>
      <c r="H7" s="5">
        <f>IF(F7&gt;8,F7-8,0)</f>
        <v/>
      </c>
      <c r="I7" t="inlineStr"/>
    </row>
    <row r="8">
      <c r="A8" t="inlineStr">
        <is>
          <t>EMP007</t>
        </is>
      </c>
      <c r="B8" t="inlineStr">
        <is>
          <t>Karthik Menon</t>
        </is>
      </c>
      <c r="C8" s="2" t="n">
        <v>46126.96581676278</v>
      </c>
      <c r="D8" t="inlineStr"/>
      <c r="E8" t="inlineStr"/>
      <c r="F8" s="5" t="inlineStr"/>
      <c r="G8" s="6" t="inlineStr">
        <is>
          <t>Absent</t>
        </is>
      </c>
      <c r="H8" s="5" t="inlineStr"/>
      <c r="I8" t="inlineStr">
        <is>
          <t>Sick leave</t>
        </is>
      </c>
    </row>
    <row r="9">
      <c r="A9" t="inlineStr">
        <is>
          <t>EMP008</t>
        </is>
      </c>
      <c r="B9" t="inlineStr">
        <is>
          <t>Divya Nair</t>
        </is>
      </c>
      <c r="C9" s="2" t="n">
        <v>46126.96581676278</v>
      </c>
      <c r="D9" t="inlineStr">
        <is>
          <t>09:00</t>
        </is>
      </c>
      <c r="E9" t="inlineStr">
        <is>
          <t>18:00</t>
        </is>
      </c>
      <c r="F9" s="5">
        <f>(TIME(VALUE(MID(E9,1,2)),VALUE(MID(E9,4,2)),0)-TIME(VALUE(MID(D9,1,2)),VALUE(MID(D9,4,2)),0))*24</f>
        <v/>
      </c>
      <c r="G9" s="7" t="inlineStr">
        <is>
          <t>Present</t>
        </is>
      </c>
      <c r="H9" s="5">
        <f>IF(F9&gt;8,F9-8,0)</f>
        <v/>
      </c>
      <c r="I9" t="inlineStr"/>
    </row>
    <row r="10">
      <c r="A10" t="inlineStr">
        <is>
          <t>EMP009</t>
        </is>
      </c>
      <c r="B10" t="inlineStr">
        <is>
          <t>Rahul Verma</t>
        </is>
      </c>
      <c r="C10" s="2" t="n">
        <v>46126.96581676278</v>
      </c>
      <c r="D10" t="inlineStr">
        <is>
          <t>09:00</t>
        </is>
      </c>
      <c r="E10" t="inlineStr">
        <is>
          <t>18:00</t>
        </is>
      </c>
      <c r="F10" s="5">
        <f>(TIME(VALUE(MID(E10,1,2)),VALUE(MID(E10,4,2)),0)-TIME(VALUE(MID(D10,1,2)),VALUE(MID(D10,4,2)),0))*24</f>
        <v/>
      </c>
      <c r="G10" s="7" t="inlineStr">
        <is>
          <t>Present</t>
        </is>
      </c>
      <c r="H10" s="5">
        <f>IF(F10&gt;8,F10-8,0)</f>
        <v/>
      </c>
      <c r="I10" t="inlineStr"/>
    </row>
    <row r="11">
      <c r="A11" t="inlineStr">
        <is>
          <t>EMP010</t>
        </is>
      </c>
      <c r="B11" t="inlineStr">
        <is>
          <t>Sneha Desai</t>
        </is>
      </c>
      <c r="C11" s="2" t="n">
        <v>46126.96581676278</v>
      </c>
      <c r="D11" t="inlineStr">
        <is>
          <t>09:00</t>
        </is>
      </c>
      <c r="E11" t="inlineStr">
        <is>
          <t>18:00</t>
        </is>
      </c>
      <c r="F11" s="5">
        <f>(TIME(VALUE(MID(E11,1,2)),VALUE(MID(E11,4,2)),0)-TIME(VALUE(MID(D11,1,2)),VALUE(MID(D11,4,2)),0))*24</f>
        <v/>
      </c>
      <c r="G11" s="7" t="inlineStr">
        <is>
          <t>Present</t>
        </is>
      </c>
      <c r="H11" s="5">
        <f>IF(F11&gt;8,F11-8,0)</f>
        <v/>
      </c>
      <c r="I11" t="inlineStr"/>
    </row>
    <row r="12">
      <c r="A12" t="inlineStr">
        <is>
          <t>EMP001</t>
        </is>
      </c>
      <c r="B12" t="inlineStr">
        <is>
          <t>Rajesh Kumar</t>
        </is>
      </c>
      <c r="C12" s="2" t="n">
        <v>46127.96581676278</v>
      </c>
      <c r="D12" t="inlineStr">
        <is>
          <t>09:00</t>
        </is>
      </c>
      <c r="E12" t="inlineStr">
        <is>
          <t>18:00</t>
        </is>
      </c>
      <c r="F12" s="5">
        <f>(TIME(VALUE(MID(E12,1,2)),VALUE(MID(E12,4,2)),0)-TIME(VALUE(MID(D12,1,2)),VALUE(MID(D12,4,2)),0))*24</f>
        <v/>
      </c>
      <c r="G12" s="7" t="inlineStr">
        <is>
          <t>Present</t>
        </is>
      </c>
      <c r="H12" s="5">
        <f>IF(F12&gt;8,F12-8,0)</f>
        <v/>
      </c>
      <c r="I12" t="inlineStr"/>
    </row>
    <row r="13">
      <c r="A13" t="inlineStr">
        <is>
          <t>EMP002</t>
        </is>
      </c>
      <c r="B13" t="inlineStr">
        <is>
          <t>Priya Sharma</t>
        </is>
      </c>
      <c r="C13" s="2" t="n">
        <v>46127.96581676278</v>
      </c>
      <c r="D13" t="inlineStr">
        <is>
          <t>09:45</t>
        </is>
      </c>
      <c r="E13" t="inlineStr">
        <is>
          <t>18:00</t>
        </is>
      </c>
      <c r="F13" s="5">
        <f>(TIME(VALUE(MID(E13,1,2)),VALUE(MID(E13,4,2)),0)-TIME(VALUE(MID(D13,1,2)),VALUE(MID(D13,4,2)),0))*24</f>
        <v/>
      </c>
      <c r="G13" s="8" t="inlineStr">
        <is>
          <t>Late</t>
        </is>
      </c>
      <c r="H13" s="5">
        <f>IF(F13&gt;8,F13-8,0)</f>
        <v/>
      </c>
      <c r="I13" t="inlineStr">
        <is>
          <t>Traffic delay</t>
        </is>
      </c>
    </row>
    <row r="14">
      <c r="A14" t="inlineStr">
        <is>
          <t>EMP003</t>
        </is>
      </c>
      <c r="B14" t="inlineStr">
        <is>
          <t>Amit Patel</t>
        </is>
      </c>
      <c r="C14" s="2" t="n">
        <v>46127.96581676278</v>
      </c>
      <c r="D14" t="inlineStr">
        <is>
          <t>09:00</t>
        </is>
      </c>
      <c r="E14" t="inlineStr">
        <is>
          <t>13:00</t>
        </is>
      </c>
      <c r="F14" s="5">
        <f>(TIME(VALUE(MID(E14,1,2)),VALUE(MID(E14,4,2)),0)-TIME(VALUE(MID(D14,1,2)),VALUE(MID(D14,4,2)),0))*24</f>
        <v/>
      </c>
      <c r="G14" t="inlineStr">
        <is>
          <t>Half Day</t>
        </is>
      </c>
      <c r="H14" s="5">
        <f>IF(F14&gt;8,F14-8,0)</f>
        <v/>
      </c>
      <c r="I14" t="inlineStr">
        <is>
          <t>Personal work</t>
        </is>
      </c>
    </row>
    <row r="15">
      <c r="A15" t="inlineStr">
        <is>
          <t>EMP004</t>
        </is>
      </c>
      <c r="B15" t="inlineStr">
        <is>
          <t>Neha Singh</t>
        </is>
      </c>
      <c r="C15" s="2" t="n">
        <v>46127.96581676278</v>
      </c>
      <c r="D15" t="inlineStr">
        <is>
          <t>09:00</t>
        </is>
      </c>
      <c r="E15" t="inlineStr">
        <is>
          <t>18:00</t>
        </is>
      </c>
      <c r="F15" s="5">
        <f>(TIME(VALUE(MID(E15,1,2)),VALUE(MID(E15,4,2)),0)-TIME(VALUE(MID(D15,1,2)),VALUE(MID(D15,4,2)),0))*24</f>
        <v/>
      </c>
      <c r="G15" s="7" t="inlineStr">
        <is>
          <t>Present</t>
        </is>
      </c>
      <c r="H15" s="5">
        <f>IF(F15&gt;8,F15-8,0)</f>
        <v/>
      </c>
      <c r="I15" t="inlineStr"/>
    </row>
    <row r="16">
      <c r="A16" t="inlineStr">
        <is>
          <t>EMP005</t>
        </is>
      </c>
      <c r="B16" t="inlineStr">
        <is>
          <t>Vikram Reddy</t>
        </is>
      </c>
      <c r="C16" s="2" t="n">
        <v>46127.96581676278</v>
      </c>
      <c r="D16" t="inlineStr">
        <is>
          <t>09:00</t>
        </is>
      </c>
      <c r="E16" t="inlineStr">
        <is>
          <t>18:00</t>
        </is>
      </c>
      <c r="F16" s="5">
        <f>(TIME(VALUE(MID(E16,1,2)),VALUE(MID(E16,4,2)),0)-TIME(VALUE(MID(D16,1,2)),VALUE(MID(D16,4,2)),0))*24</f>
        <v/>
      </c>
      <c r="G16" s="7" t="inlineStr">
        <is>
          <t>Present</t>
        </is>
      </c>
      <c r="H16" s="5">
        <f>IF(F16&gt;8,F16-8,0)</f>
        <v/>
      </c>
      <c r="I16" t="inlineStr"/>
    </row>
    <row r="17">
      <c r="A17" t="inlineStr">
        <is>
          <t>EMP006</t>
        </is>
      </c>
      <c r="B17" t="inlineStr">
        <is>
          <t>Ananya Iyer</t>
        </is>
      </c>
      <c r="C17" s="2" t="n">
        <v>46127.96581676278</v>
      </c>
      <c r="D17" t="inlineStr">
        <is>
          <t>09:45</t>
        </is>
      </c>
      <c r="E17" t="inlineStr">
        <is>
          <t>18:00</t>
        </is>
      </c>
      <c r="F17" s="5">
        <f>(TIME(VALUE(MID(E17,1,2)),VALUE(MID(E17,4,2)),0)-TIME(VALUE(MID(D17,1,2)),VALUE(MID(D17,4,2)),0))*24</f>
        <v/>
      </c>
      <c r="G17" s="8" t="inlineStr">
        <is>
          <t>Late</t>
        </is>
      </c>
      <c r="H17" s="5">
        <f>IF(F17&gt;8,F17-8,0)</f>
        <v/>
      </c>
      <c r="I17" t="inlineStr">
        <is>
          <t>Traffic delay</t>
        </is>
      </c>
    </row>
    <row r="18">
      <c r="A18" t="inlineStr">
        <is>
          <t>EMP007</t>
        </is>
      </c>
      <c r="B18" t="inlineStr">
        <is>
          <t>Karthik Menon</t>
        </is>
      </c>
      <c r="C18" s="2" t="n">
        <v>46127.96581676278</v>
      </c>
      <c r="D18" t="inlineStr">
        <is>
          <t>09:00</t>
        </is>
      </c>
      <c r="E18" t="inlineStr">
        <is>
          <t>18:00</t>
        </is>
      </c>
      <c r="F18" s="5">
        <f>(TIME(VALUE(MID(E18,1,2)),VALUE(MID(E18,4,2)),0)-TIME(VALUE(MID(D18,1,2)),VALUE(MID(D18,4,2)),0))*24</f>
        <v/>
      </c>
      <c r="G18" s="7" t="inlineStr">
        <is>
          <t>Present</t>
        </is>
      </c>
      <c r="H18" s="5">
        <f>IF(F18&gt;8,F18-8,0)</f>
        <v/>
      </c>
      <c r="I18" t="inlineStr"/>
    </row>
    <row r="19">
      <c r="A19" t="inlineStr">
        <is>
          <t>EMP008</t>
        </is>
      </c>
      <c r="B19" t="inlineStr">
        <is>
          <t>Divya Nair</t>
        </is>
      </c>
      <c r="C19" s="2" t="n">
        <v>46127.96581676278</v>
      </c>
      <c r="D19" t="inlineStr">
        <is>
          <t>09:00</t>
        </is>
      </c>
      <c r="E19" t="inlineStr">
        <is>
          <t>18:00</t>
        </is>
      </c>
      <c r="F19" s="5">
        <f>(TIME(VALUE(MID(E19,1,2)),VALUE(MID(E19,4,2)),0)-TIME(VALUE(MID(D19,1,2)),VALUE(MID(D19,4,2)),0))*24</f>
        <v/>
      </c>
      <c r="G19" s="7" t="inlineStr">
        <is>
          <t>Present</t>
        </is>
      </c>
      <c r="H19" s="5">
        <f>IF(F19&gt;8,F19-8,0)</f>
        <v/>
      </c>
      <c r="I19" t="inlineStr"/>
    </row>
    <row r="20">
      <c r="A20" t="inlineStr">
        <is>
          <t>EMP009</t>
        </is>
      </c>
      <c r="B20" t="inlineStr">
        <is>
          <t>Rahul Verma</t>
        </is>
      </c>
      <c r="C20" s="2" t="n">
        <v>46127.96581676278</v>
      </c>
      <c r="D20" t="inlineStr">
        <is>
          <t>09:00</t>
        </is>
      </c>
      <c r="E20" t="inlineStr">
        <is>
          <t>18:00</t>
        </is>
      </c>
      <c r="F20" s="5">
        <f>(TIME(VALUE(MID(E20,1,2)),VALUE(MID(E20,4,2)),0)-TIME(VALUE(MID(D20,1,2)),VALUE(MID(D20,4,2)),0))*24</f>
        <v/>
      </c>
      <c r="G20" s="7" t="inlineStr">
        <is>
          <t>Present</t>
        </is>
      </c>
      <c r="H20" s="5">
        <f>IF(F20&gt;8,F20-8,0)</f>
        <v/>
      </c>
      <c r="I20" t="inlineStr"/>
    </row>
    <row r="21">
      <c r="A21" t="inlineStr">
        <is>
          <t>EMP010</t>
        </is>
      </c>
      <c r="B21" t="inlineStr">
        <is>
          <t>Sneha Desai</t>
        </is>
      </c>
      <c r="C21" s="2" t="n">
        <v>46127.96581676278</v>
      </c>
      <c r="D21" t="inlineStr">
        <is>
          <t>09:00</t>
        </is>
      </c>
      <c r="E21" t="inlineStr">
        <is>
          <t>18:00</t>
        </is>
      </c>
      <c r="F21" s="5">
        <f>(TIME(VALUE(MID(E21,1,2)),VALUE(MID(E21,4,2)),0)-TIME(VALUE(MID(D21,1,2)),VALUE(MID(D21,4,2)),0))*24</f>
        <v/>
      </c>
      <c r="G21" s="7" t="inlineStr">
        <is>
          <t>Present</t>
        </is>
      </c>
      <c r="H21" s="5">
        <f>IF(F21&gt;8,F21-8,0)</f>
        <v/>
      </c>
      <c r="I21" t="inlineStr"/>
    </row>
    <row r="22">
      <c r="A22" t="inlineStr">
        <is>
          <t>EMP001</t>
        </is>
      </c>
      <c r="B22" t="inlineStr">
        <is>
          <t>Rajesh Kumar</t>
        </is>
      </c>
      <c r="C22" s="2" t="n">
        <v>46128.96581676278</v>
      </c>
      <c r="D22" t="inlineStr">
        <is>
          <t>09:00</t>
        </is>
      </c>
      <c r="E22" t="inlineStr">
        <is>
          <t>18:00</t>
        </is>
      </c>
      <c r="F22" s="5">
        <f>(TIME(VALUE(MID(E22,1,2)),VALUE(MID(E22,4,2)),0)-TIME(VALUE(MID(D22,1,2)),VALUE(MID(D22,4,2)),0))*24</f>
        <v/>
      </c>
      <c r="G22" s="7" t="inlineStr">
        <is>
          <t>Present</t>
        </is>
      </c>
      <c r="H22" s="5">
        <f>IF(F22&gt;8,F22-8,0)</f>
        <v/>
      </c>
      <c r="I22" t="inlineStr"/>
    </row>
    <row r="23">
      <c r="A23" t="inlineStr">
        <is>
          <t>EMP002</t>
        </is>
      </c>
      <c r="B23" t="inlineStr">
        <is>
          <t>Priya Sharma</t>
        </is>
      </c>
      <c r="C23" s="2" t="n">
        <v>46128.96581676278</v>
      </c>
      <c r="D23" t="inlineStr">
        <is>
          <t>09:45</t>
        </is>
      </c>
      <c r="E23" t="inlineStr">
        <is>
          <t>18:00</t>
        </is>
      </c>
      <c r="F23" s="5">
        <f>(TIME(VALUE(MID(E23,1,2)),VALUE(MID(E23,4,2)),0)-TIME(VALUE(MID(D23,1,2)),VALUE(MID(D23,4,2)),0))*24</f>
        <v/>
      </c>
      <c r="G23" s="8" t="inlineStr">
        <is>
          <t>Late</t>
        </is>
      </c>
      <c r="H23" s="5">
        <f>IF(F23&gt;8,F23-8,0)</f>
        <v/>
      </c>
      <c r="I23" t="inlineStr">
        <is>
          <t>Traffic delay</t>
        </is>
      </c>
    </row>
    <row r="24">
      <c r="A24" t="inlineStr">
        <is>
          <t>EMP003</t>
        </is>
      </c>
      <c r="B24" t="inlineStr">
        <is>
          <t>Amit Patel</t>
        </is>
      </c>
      <c r="C24" s="2" t="n">
        <v>46128.96581676278</v>
      </c>
      <c r="D24" t="inlineStr">
        <is>
          <t>09:00</t>
        </is>
      </c>
      <c r="E24" t="inlineStr">
        <is>
          <t>18:00</t>
        </is>
      </c>
      <c r="F24" s="5">
        <f>(TIME(VALUE(MID(E24,1,2)),VALUE(MID(E24,4,2)),0)-TIME(VALUE(MID(D24,1,2)),VALUE(MID(D24,4,2)),0))*24</f>
        <v/>
      </c>
      <c r="G24" s="7" t="inlineStr">
        <is>
          <t>Present</t>
        </is>
      </c>
      <c r="H24" s="5">
        <f>IF(F24&gt;8,F24-8,0)</f>
        <v/>
      </c>
      <c r="I24" t="inlineStr"/>
    </row>
    <row r="25">
      <c r="A25" t="inlineStr">
        <is>
          <t>EMP004</t>
        </is>
      </c>
      <c r="B25" t="inlineStr">
        <is>
          <t>Neha Singh</t>
        </is>
      </c>
      <c r="C25" s="2" t="n">
        <v>46128.96581676278</v>
      </c>
      <c r="D25" t="inlineStr">
        <is>
          <t>09:00</t>
        </is>
      </c>
      <c r="E25" t="inlineStr">
        <is>
          <t>18:00</t>
        </is>
      </c>
      <c r="F25" s="5">
        <f>(TIME(VALUE(MID(E25,1,2)),VALUE(MID(E25,4,2)),0)-TIME(VALUE(MID(D25,1,2)),VALUE(MID(D25,4,2)),0))*24</f>
        <v/>
      </c>
      <c r="G25" s="7" t="inlineStr">
        <is>
          <t>Present</t>
        </is>
      </c>
      <c r="H25" s="5">
        <f>IF(F25&gt;8,F25-8,0)</f>
        <v/>
      </c>
      <c r="I25" t="inlineStr"/>
    </row>
    <row r="26">
      <c r="A26" t="inlineStr">
        <is>
          <t>EMP005</t>
        </is>
      </c>
      <c r="B26" t="inlineStr">
        <is>
          <t>Vikram Reddy</t>
        </is>
      </c>
      <c r="C26" s="2" t="n">
        <v>46128.96581676278</v>
      </c>
      <c r="D26" t="inlineStr">
        <is>
          <t>09:00</t>
        </is>
      </c>
      <c r="E26" t="inlineStr">
        <is>
          <t>13:00</t>
        </is>
      </c>
      <c r="F26" s="5">
        <f>(TIME(VALUE(MID(E26,1,2)),VALUE(MID(E26,4,2)),0)-TIME(VALUE(MID(D26,1,2)),VALUE(MID(D26,4,2)),0))*24</f>
        <v/>
      </c>
      <c r="G26" t="inlineStr">
        <is>
          <t>Half Day</t>
        </is>
      </c>
      <c r="H26" s="5">
        <f>IF(F26&gt;8,F26-8,0)</f>
        <v/>
      </c>
      <c r="I26" t="inlineStr">
        <is>
          <t>Personal work</t>
        </is>
      </c>
    </row>
    <row r="27">
      <c r="A27" t="inlineStr">
        <is>
          <t>EMP006</t>
        </is>
      </c>
      <c r="B27" t="inlineStr">
        <is>
          <t>Ananya Iyer</t>
        </is>
      </c>
      <c r="C27" s="2" t="n">
        <v>46128.96581676278</v>
      </c>
      <c r="D27" t="inlineStr">
        <is>
          <t>09:00</t>
        </is>
      </c>
      <c r="E27" t="inlineStr">
        <is>
          <t>13:00</t>
        </is>
      </c>
      <c r="F27" s="5">
        <f>(TIME(VALUE(MID(E27,1,2)),VALUE(MID(E27,4,2)),0)-TIME(VALUE(MID(D27,1,2)),VALUE(MID(D27,4,2)),0))*24</f>
        <v/>
      </c>
      <c r="G27" t="inlineStr">
        <is>
          <t>Half Day</t>
        </is>
      </c>
      <c r="H27" s="5">
        <f>IF(F27&gt;8,F27-8,0)</f>
        <v/>
      </c>
      <c r="I27" t="inlineStr">
        <is>
          <t>Personal work</t>
        </is>
      </c>
    </row>
    <row r="28">
      <c r="A28" t="inlineStr">
        <is>
          <t>EMP007</t>
        </is>
      </c>
      <c r="B28" t="inlineStr">
        <is>
          <t>Karthik Menon</t>
        </is>
      </c>
      <c r="C28" s="2" t="n">
        <v>46128.96581676278</v>
      </c>
      <c r="D28" t="inlineStr">
        <is>
          <t>09:45</t>
        </is>
      </c>
      <c r="E28" t="inlineStr">
        <is>
          <t>18:00</t>
        </is>
      </c>
      <c r="F28" s="5">
        <f>(TIME(VALUE(MID(E28,1,2)),VALUE(MID(E28,4,2)),0)-TIME(VALUE(MID(D28,1,2)),VALUE(MID(D28,4,2)),0))*24</f>
        <v/>
      </c>
      <c r="G28" s="8" t="inlineStr">
        <is>
          <t>Late</t>
        </is>
      </c>
      <c r="H28" s="5">
        <f>IF(F28&gt;8,F28-8,0)</f>
        <v/>
      </c>
      <c r="I28" t="inlineStr">
        <is>
          <t>Traffic delay</t>
        </is>
      </c>
    </row>
    <row r="29">
      <c r="A29" t="inlineStr">
        <is>
          <t>EMP008</t>
        </is>
      </c>
      <c r="B29" t="inlineStr">
        <is>
          <t>Divya Nair</t>
        </is>
      </c>
      <c r="C29" s="2" t="n">
        <v>46128.96581676278</v>
      </c>
      <c r="D29" t="inlineStr">
        <is>
          <t>09:00</t>
        </is>
      </c>
      <c r="E29" t="inlineStr">
        <is>
          <t>18:00</t>
        </is>
      </c>
      <c r="F29" s="5">
        <f>(TIME(VALUE(MID(E29,1,2)),VALUE(MID(E29,4,2)),0)-TIME(VALUE(MID(D29,1,2)),VALUE(MID(D29,4,2)),0))*24</f>
        <v/>
      </c>
      <c r="G29" s="7" t="inlineStr">
        <is>
          <t>Present</t>
        </is>
      </c>
      <c r="H29" s="5">
        <f>IF(F29&gt;8,F29-8,0)</f>
        <v/>
      </c>
      <c r="I29" t="inlineStr"/>
    </row>
    <row r="30">
      <c r="A30" t="inlineStr">
        <is>
          <t>EMP009</t>
        </is>
      </c>
      <c r="B30" t="inlineStr">
        <is>
          <t>Rahul Verma</t>
        </is>
      </c>
      <c r="C30" s="2" t="n">
        <v>46128.96581676278</v>
      </c>
      <c r="D30" t="inlineStr">
        <is>
          <t>09:00</t>
        </is>
      </c>
      <c r="E30" t="inlineStr">
        <is>
          <t>18:00</t>
        </is>
      </c>
      <c r="F30" s="5">
        <f>(TIME(VALUE(MID(E30,1,2)),VALUE(MID(E30,4,2)),0)-TIME(VALUE(MID(D30,1,2)),VALUE(MID(D30,4,2)),0))*24</f>
        <v/>
      </c>
      <c r="G30" s="7" t="inlineStr">
        <is>
          <t>Present</t>
        </is>
      </c>
      <c r="H30" s="5">
        <f>IF(F30&gt;8,F30-8,0)</f>
        <v/>
      </c>
      <c r="I30" t="inlineStr"/>
    </row>
    <row r="31">
      <c r="A31" t="inlineStr">
        <is>
          <t>EMP010</t>
        </is>
      </c>
      <c r="B31" t="inlineStr">
        <is>
          <t>Sneha Desai</t>
        </is>
      </c>
      <c r="C31" s="2" t="n">
        <v>46128.96581676278</v>
      </c>
      <c r="D31" t="inlineStr"/>
      <c r="E31" t="inlineStr"/>
      <c r="F31" s="5" t="inlineStr"/>
      <c r="G31" s="6" t="inlineStr">
        <is>
          <t>Absent</t>
        </is>
      </c>
      <c r="H31" s="5" t="inlineStr"/>
      <c r="I31" t="inlineStr">
        <is>
          <t>Sick leave</t>
        </is>
      </c>
    </row>
    <row r="32">
      <c r="A32" t="inlineStr">
        <is>
          <t>EMP001</t>
        </is>
      </c>
      <c r="B32" t="inlineStr">
        <is>
          <t>Rajesh Kumar</t>
        </is>
      </c>
      <c r="C32" s="2" t="n">
        <v>46129.96581676278</v>
      </c>
      <c r="D32" t="inlineStr">
        <is>
          <t>09:00</t>
        </is>
      </c>
      <c r="E32" t="inlineStr">
        <is>
          <t>18:00</t>
        </is>
      </c>
      <c r="F32" s="5">
        <f>(TIME(VALUE(MID(E32,1,2)),VALUE(MID(E32,4,2)),0)-TIME(VALUE(MID(D32,1,2)),VALUE(MID(D32,4,2)),0))*24</f>
        <v/>
      </c>
      <c r="G32" s="7" t="inlineStr">
        <is>
          <t>Present</t>
        </is>
      </c>
      <c r="H32" s="5">
        <f>IF(F32&gt;8,F32-8,0)</f>
        <v/>
      </c>
      <c r="I32" t="inlineStr"/>
    </row>
    <row r="33">
      <c r="A33" t="inlineStr">
        <is>
          <t>EMP002</t>
        </is>
      </c>
      <c r="B33" t="inlineStr">
        <is>
          <t>Priya Sharma</t>
        </is>
      </c>
      <c r="C33" s="2" t="n">
        <v>46129.96581676278</v>
      </c>
      <c r="D33" t="inlineStr"/>
      <c r="E33" t="inlineStr"/>
      <c r="F33" s="5" t="inlineStr"/>
      <c r="G33" s="6" t="inlineStr">
        <is>
          <t>Absent</t>
        </is>
      </c>
      <c r="H33" s="5" t="inlineStr"/>
      <c r="I33" t="inlineStr">
        <is>
          <t>Sick leave</t>
        </is>
      </c>
    </row>
    <row r="34">
      <c r="A34" t="inlineStr">
        <is>
          <t>EMP003</t>
        </is>
      </c>
      <c r="B34" t="inlineStr">
        <is>
          <t>Amit Patel</t>
        </is>
      </c>
      <c r="C34" s="2" t="n">
        <v>46129.96581676278</v>
      </c>
      <c r="D34" t="inlineStr">
        <is>
          <t>09:00</t>
        </is>
      </c>
      <c r="E34" t="inlineStr">
        <is>
          <t>18:00</t>
        </is>
      </c>
      <c r="F34" s="5">
        <f>(TIME(VALUE(MID(E34,1,2)),VALUE(MID(E34,4,2)),0)-TIME(VALUE(MID(D34,1,2)),VALUE(MID(D34,4,2)),0))*24</f>
        <v/>
      </c>
      <c r="G34" s="7" t="inlineStr">
        <is>
          <t>Present</t>
        </is>
      </c>
      <c r="H34" s="5">
        <f>IF(F34&gt;8,F34-8,0)</f>
        <v/>
      </c>
      <c r="I34" t="inlineStr"/>
    </row>
    <row r="35">
      <c r="A35" t="inlineStr">
        <is>
          <t>EMP004</t>
        </is>
      </c>
      <c r="B35" t="inlineStr">
        <is>
          <t>Neha Singh</t>
        </is>
      </c>
      <c r="C35" s="2" t="n">
        <v>46129.96581676278</v>
      </c>
      <c r="D35" t="inlineStr"/>
      <c r="E35" t="inlineStr"/>
      <c r="F35" s="5" t="inlineStr"/>
      <c r="G35" s="6" t="inlineStr">
        <is>
          <t>Absent</t>
        </is>
      </c>
      <c r="H35" s="5" t="inlineStr"/>
      <c r="I35" t="inlineStr">
        <is>
          <t>Sick leave</t>
        </is>
      </c>
    </row>
    <row r="36">
      <c r="A36" t="inlineStr">
        <is>
          <t>EMP005</t>
        </is>
      </c>
      <c r="B36" t="inlineStr">
        <is>
          <t>Vikram Reddy</t>
        </is>
      </c>
      <c r="C36" s="2" t="n">
        <v>46129.96581676278</v>
      </c>
      <c r="D36" t="inlineStr">
        <is>
          <t>09:00</t>
        </is>
      </c>
      <c r="E36" t="inlineStr">
        <is>
          <t>18:00</t>
        </is>
      </c>
      <c r="F36" s="5">
        <f>(TIME(VALUE(MID(E36,1,2)),VALUE(MID(E36,4,2)),0)-TIME(VALUE(MID(D36,1,2)),VALUE(MID(D36,4,2)),0))*24</f>
        <v/>
      </c>
      <c r="G36" s="7" t="inlineStr">
        <is>
          <t>Present</t>
        </is>
      </c>
      <c r="H36" s="5">
        <f>IF(F36&gt;8,F36-8,0)</f>
        <v/>
      </c>
      <c r="I36" t="inlineStr"/>
    </row>
    <row r="37">
      <c r="A37" t="inlineStr">
        <is>
          <t>EMP006</t>
        </is>
      </c>
      <c r="B37" t="inlineStr">
        <is>
          <t>Ananya Iyer</t>
        </is>
      </c>
      <c r="C37" s="2" t="n">
        <v>46129.96581676278</v>
      </c>
      <c r="D37" t="inlineStr">
        <is>
          <t>09:00</t>
        </is>
      </c>
      <c r="E37" t="inlineStr">
        <is>
          <t>18:00</t>
        </is>
      </c>
      <c r="F37" s="5">
        <f>(TIME(VALUE(MID(E37,1,2)),VALUE(MID(E37,4,2)),0)-TIME(VALUE(MID(D37,1,2)),VALUE(MID(D37,4,2)),0))*24</f>
        <v/>
      </c>
      <c r="G37" s="7" t="inlineStr">
        <is>
          <t>Present</t>
        </is>
      </c>
      <c r="H37" s="5">
        <f>IF(F37&gt;8,F37-8,0)</f>
        <v/>
      </c>
      <c r="I37" t="inlineStr"/>
    </row>
    <row r="38">
      <c r="A38" t="inlineStr">
        <is>
          <t>EMP007</t>
        </is>
      </c>
      <c r="B38" t="inlineStr">
        <is>
          <t>Karthik Menon</t>
        </is>
      </c>
      <c r="C38" s="2" t="n">
        <v>46129.96581676278</v>
      </c>
      <c r="D38" t="inlineStr">
        <is>
          <t>09:00</t>
        </is>
      </c>
      <c r="E38" t="inlineStr">
        <is>
          <t>13:00</t>
        </is>
      </c>
      <c r="F38" s="5">
        <f>(TIME(VALUE(MID(E38,1,2)),VALUE(MID(E38,4,2)),0)-TIME(VALUE(MID(D38,1,2)),VALUE(MID(D38,4,2)),0))*24</f>
        <v/>
      </c>
      <c r="G38" t="inlineStr">
        <is>
          <t>Half Day</t>
        </is>
      </c>
      <c r="H38" s="5">
        <f>IF(F38&gt;8,F38-8,0)</f>
        <v/>
      </c>
      <c r="I38" t="inlineStr">
        <is>
          <t>Personal work</t>
        </is>
      </c>
    </row>
    <row r="39">
      <c r="A39" t="inlineStr">
        <is>
          <t>EMP008</t>
        </is>
      </c>
      <c r="B39" t="inlineStr">
        <is>
          <t>Divya Nair</t>
        </is>
      </c>
      <c r="C39" s="2" t="n">
        <v>46129.96581676278</v>
      </c>
      <c r="D39" t="inlineStr">
        <is>
          <t>09:00</t>
        </is>
      </c>
      <c r="E39" t="inlineStr">
        <is>
          <t>18:00</t>
        </is>
      </c>
      <c r="F39" s="5">
        <f>(TIME(VALUE(MID(E39,1,2)),VALUE(MID(E39,4,2)),0)-TIME(VALUE(MID(D39,1,2)),VALUE(MID(D39,4,2)),0))*24</f>
        <v/>
      </c>
      <c r="G39" s="7" t="inlineStr">
        <is>
          <t>Present</t>
        </is>
      </c>
      <c r="H39" s="5">
        <f>IF(F39&gt;8,F39-8,0)</f>
        <v/>
      </c>
      <c r="I39" t="inlineStr"/>
    </row>
    <row r="40">
      <c r="A40" t="inlineStr">
        <is>
          <t>EMP009</t>
        </is>
      </c>
      <c r="B40" t="inlineStr">
        <is>
          <t>Rahul Verma</t>
        </is>
      </c>
      <c r="C40" s="2" t="n">
        <v>46129.96581676278</v>
      </c>
      <c r="D40" t="inlineStr">
        <is>
          <t>09:00</t>
        </is>
      </c>
      <c r="E40" t="inlineStr">
        <is>
          <t>18:00</t>
        </is>
      </c>
      <c r="F40" s="5">
        <f>(TIME(VALUE(MID(E40,1,2)),VALUE(MID(E40,4,2)),0)-TIME(VALUE(MID(D40,1,2)),VALUE(MID(D40,4,2)),0))*24</f>
        <v/>
      </c>
      <c r="G40" s="7" t="inlineStr">
        <is>
          <t>Present</t>
        </is>
      </c>
      <c r="H40" s="5">
        <f>IF(F40&gt;8,F40-8,0)</f>
        <v/>
      </c>
      <c r="I40" t="inlineStr"/>
    </row>
    <row r="41">
      <c r="A41" t="inlineStr">
        <is>
          <t>EMP010</t>
        </is>
      </c>
      <c r="B41" t="inlineStr">
        <is>
          <t>Sneha Desai</t>
        </is>
      </c>
      <c r="C41" s="2" t="n">
        <v>46129.96581676278</v>
      </c>
      <c r="D41" t="inlineStr">
        <is>
          <t>09:00</t>
        </is>
      </c>
      <c r="E41" t="inlineStr">
        <is>
          <t>13:00</t>
        </is>
      </c>
      <c r="F41" s="5">
        <f>(TIME(VALUE(MID(E41,1,2)),VALUE(MID(E41,4,2)),0)-TIME(VALUE(MID(D41,1,2)),VALUE(MID(D41,4,2)),0))*24</f>
        <v/>
      </c>
      <c r="G41" t="inlineStr">
        <is>
          <t>Half Day</t>
        </is>
      </c>
      <c r="H41" s="5">
        <f>IF(F41&gt;8,F41-8,0)</f>
        <v/>
      </c>
      <c r="I41" t="inlineStr">
        <is>
          <t>Personal work</t>
        </is>
      </c>
    </row>
    <row r="42">
      <c r="A42" t="inlineStr">
        <is>
          <t>EMP001</t>
        </is>
      </c>
      <c r="B42" t="inlineStr">
        <is>
          <t>Rajesh Kumar</t>
        </is>
      </c>
      <c r="C42" s="2" t="n">
        <v>46130.96581676278</v>
      </c>
      <c r="D42" t="inlineStr">
        <is>
          <t>09:00</t>
        </is>
      </c>
      <c r="E42" t="inlineStr">
        <is>
          <t>18:00</t>
        </is>
      </c>
      <c r="F42" s="5">
        <f>(TIME(VALUE(MID(E42,1,2)),VALUE(MID(E42,4,2)),0)-TIME(VALUE(MID(D42,1,2)),VALUE(MID(D42,4,2)),0))*24</f>
        <v/>
      </c>
      <c r="G42" s="7" t="inlineStr">
        <is>
          <t>Present</t>
        </is>
      </c>
      <c r="H42" s="5">
        <f>IF(F42&gt;8,F42-8,0)</f>
        <v/>
      </c>
      <c r="I42" t="inlineStr"/>
    </row>
    <row r="43">
      <c r="A43" t="inlineStr">
        <is>
          <t>EMP002</t>
        </is>
      </c>
      <c r="B43" t="inlineStr">
        <is>
          <t>Priya Sharma</t>
        </is>
      </c>
      <c r="C43" s="2" t="n">
        <v>46130.96581676278</v>
      </c>
      <c r="D43" t="inlineStr">
        <is>
          <t>09:00</t>
        </is>
      </c>
      <c r="E43" t="inlineStr">
        <is>
          <t>18:00</t>
        </is>
      </c>
      <c r="F43" s="5">
        <f>(TIME(VALUE(MID(E43,1,2)),VALUE(MID(E43,4,2)),0)-TIME(VALUE(MID(D43,1,2)),VALUE(MID(D43,4,2)),0))*24</f>
        <v/>
      </c>
      <c r="G43" s="7" t="inlineStr">
        <is>
          <t>Present</t>
        </is>
      </c>
      <c r="H43" s="5">
        <f>IF(F43&gt;8,F43-8,0)</f>
        <v/>
      </c>
      <c r="I43" t="inlineStr"/>
    </row>
    <row r="44">
      <c r="A44" t="inlineStr">
        <is>
          <t>EMP003</t>
        </is>
      </c>
      <c r="B44" t="inlineStr">
        <is>
          <t>Amit Patel</t>
        </is>
      </c>
      <c r="C44" s="2" t="n">
        <v>46130.96581676278</v>
      </c>
      <c r="D44" t="inlineStr">
        <is>
          <t>09:00</t>
        </is>
      </c>
      <c r="E44" t="inlineStr">
        <is>
          <t>18:00</t>
        </is>
      </c>
      <c r="F44" s="5">
        <f>(TIME(VALUE(MID(E44,1,2)),VALUE(MID(E44,4,2)),0)-TIME(VALUE(MID(D44,1,2)),VALUE(MID(D44,4,2)),0))*24</f>
        <v/>
      </c>
      <c r="G44" s="7" t="inlineStr">
        <is>
          <t>Present</t>
        </is>
      </c>
      <c r="H44" s="5">
        <f>IF(F44&gt;8,F44-8,0)</f>
        <v/>
      </c>
      <c r="I44" t="inlineStr"/>
    </row>
    <row r="45">
      <c r="A45" t="inlineStr">
        <is>
          <t>EMP004</t>
        </is>
      </c>
      <c r="B45" t="inlineStr">
        <is>
          <t>Neha Singh</t>
        </is>
      </c>
      <c r="C45" s="2" t="n">
        <v>46130.96581676278</v>
      </c>
      <c r="D45" t="inlineStr"/>
      <c r="E45" t="inlineStr"/>
      <c r="F45" s="5" t="inlineStr"/>
      <c r="G45" s="6" t="inlineStr">
        <is>
          <t>Absent</t>
        </is>
      </c>
      <c r="H45" s="5" t="inlineStr"/>
      <c r="I45" t="inlineStr">
        <is>
          <t>Sick leave</t>
        </is>
      </c>
    </row>
    <row r="46">
      <c r="A46" t="inlineStr">
        <is>
          <t>EMP005</t>
        </is>
      </c>
      <c r="B46" t="inlineStr">
        <is>
          <t>Vikram Reddy</t>
        </is>
      </c>
      <c r="C46" s="2" t="n">
        <v>46130.96581676278</v>
      </c>
      <c r="D46" t="inlineStr">
        <is>
          <t>09:00</t>
        </is>
      </c>
      <c r="E46" t="inlineStr">
        <is>
          <t>18:00</t>
        </is>
      </c>
      <c r="F46" s="5">
        <f>(TIME(VALUE(MID(E46,1,2)),VALUE(MID(E46,4,2)),0)-TIME(VALUE(MID(D46,1,2)),VALUE(MID(D46,4,2)),0))*24</f>
        <v/>
      </c>
      <c r="G46" s="7" t="inlineStr">
        <is>
          <t>Present</t>
        </is>
      </c>
      <c r="H46" s="5">
        <f>IF(F46&gt;8,F46-8,0)</f>
        <v/>
      </c>
      <c r="I46" t="inlineStr"/>
    </row>
    <row r="47">
      <c r="A47" t="inlineStr">
        <is>
          <t>EMP006</t>
        </is>
      </c>
      <c r="B47" t="inlineStr">
        <is>
          <t>Ananya Iyer</t>
        </is>
      </c>
      <c r="C47" s="2" t="n">
        <v>46130.96581676278</v>
      </c>
      <c r="D47" t="inlineStr">
        <is>
          <t>09:00</t>
        </is>
      </c>
      <c r="E47" t="inlineStr">
        <is>
          <t>18:00</t>
        </is>
      </c>
      <c r="F47" s="5">
        <f>(TIME(VALUE(MID(E47,1,2)),VALUE(MID(E47,4,2)),0)-TIME(VALUE(MID(D47,1,2)),VALUE(MID(D47,4,2)),0))*24</f>
        <v/>
      </c>
      <c r="G47" s="7" t="inlineStr">
        <is>
          <t>Present</t>
        </is>
      </c>
      <c r="H47" s="5">
        <f>IF(F47&gt;8,F47-8,0)</f>
        <v/>
      </c>
      <c r="I47" t="inlineStr"/>
    </row>
    <row r="48">
      <c r="A48" t="inlineStr">
        <is>
          <t>EMP007</t>
        </is>
      </c>
      <c r="B48" t="inlineStr">
        <is>
          <t>Karthik Menon</t>
        </is>
      </c>
      <c r="C48" s="2" t="n">
        <v>46130.96581676278</v>
      </c>
      <c r="D48" t="inlineStr">
        <is>
          <t>09:00</t>
        </is>
      </c>
      <c r="E48" t="inlineStr">
        <is>
          <t>18:00</t>
        </is>
      </c>
      <c r="F48" s="5">
        <f>(TIME(VALUE(MID(E48,1,2)),VALUE(MID(E48,4,2)),0)-TIME(VALUE(MID(D48,1,2)),VALUE(MID(D48,4,2)),0))*24</f>
        <v/>
      </c>
      <c r="G48" s="7" t="inlineStr">
        <is>
          <t>Present</t>
        </is>
      </c>
      <c r="H48" s="5">
        <f>IF(F48&gt;8,F48-8,0)</f>
        <v/>
      </c>
      <c r="I48" t="inlineStr"/>
    </row>
    <row r="49">
      <c r="A49" t="inlineStr">
        <is>
          <t>EMP008</t>
        </is>
      </c>
      <c r="B49" t="inlineStr">
        <is>
          <t>Divya Nair</t>
        </is>
      </c>
      <c r="C49" s="2" t="n">
        <v>46130.96581676278</v>
      </c>
      <c r="D49" t="inlineStr">
        <is>
          <t>09:00</t>
        </is>
      </c>
      <c r="E49" t="inlineStr">
        <is>
          <t>18:00</t>
        </is>
      </c>
      <c r="F49" s="5">
        <f>(TIME(VALUE(MID(E49,1,2)),VALUE(MID(E49,4,2)),0)-TIME(VALUE(MID(D49,1,2)),VALUE(MID(D49,4,2)),0))*24</f>
        <v/>
      </c>
      <c r="G49" s="7" t="inlineStr">
        <is>
          <t>Present</t>
        </is>
      </c>
      <c r="H49" s="5">
        <f>IF(F49&gt;8,F49-8,0)</f>
        <v/>
      </c>
      <c r="I49" t="inlineStr"/>
    </row>
    <row r="50">
      <c r="A50" t="inlineStr">
        <is>
          <t>EMP009</t>
        </is>
      </c>
      <c r="B50" t="inlineStr">
        <is>
          <t>Rahul Verma</t>
        </is>
      </c>
      <c r="C50" s="2" t="n">
        <v>46130.96581676278</v>
      </c>
      <c r="D50" t="inlineStr">
        <is>
          <t>09:45</t>
        </is>
      </c>
      <c r="E50" t="inlineStr">
        <is>
          <t>18:00</t>
        </is>
      </c>
      <c r="F50" s="5">
        <f>(TIME(VALUE(MID(E50,1,2)),VALUE(MID(E50,4,2)),0)-TIME(VALUE(MID(D50,1,2)),VALUE(MID(D50,4,2)),0))*24</f>
        <v/>
      </c>
      <c r="G50" s="8" t="inlineStr">
        <is>
          <t>Late</t>
        </is>
      </c>
      <c r="H50" s="5">
        <f>IF(F50&gt;8,F50-8,0)</f>
        <v/>
      </c>
      <c r="I50" t="inlineStr">
        <is>
          <t>Traffic delay</t>
        </is>
      </c>
    </row>
    <row r="51">
      <c r="A51" t="inlineStr">
        <is>
          <t>EMP010</t>
        </is>
      </c>
      <c r="B51" t="inlineStr">
        <is>
          <t>Sneha Desai</t>
        </is>
      </c>
      <c r="C51" s="2" t="n">
        <v>46130.96581676278</v>
      </c>
      <c r="D51" t="inlineStr">
        <is>
          <t>09:45</t>
        </is>
      </c>
      <c r="E51" t="inlineStr">
        <is>
          <t>18:00</t>
        </is>
      </c>
      <c r="F51" s="5">
        <f>(TIME(VALUE(MID(E51,1,2)),VALUE(MID(E51,4,2)),0)-TIME(VALUE(MID(D51,1,2)),VALUE(MID(D51,4,2)),0))*24</f>
        <v/>
      </c>
      <c r="G51" s="8" t="inlineStr">
        <is>
          <t>Late</t>
        </is>
      </c>
      <c r="H51" s="5">
        <f>IF(F51&gt;8,F51-8,0)</f>
        <v/>
      </c>
      <c r="I51" t="inlineStr">
        <is>
          <t>Traffic delay</t>
        </is>
      </c>
    </row>
    <row r="52">
      <c r="A52" t="inlineStr">
        <is>
          <t>EMP001</t>
        </is>
      </c>
      <c r="B52" t="inlineStr">
        <is>
          <t>Rajesh Kumar</t>
        </is>
      </c>
      <c r="C52" s="2" t="n">
        <v>46131.96581676278</v>
      </c>
      <c r="D52" t="inlineStr">
        <is>
          <t>09:00</t>
        </is>
      </c>
      <c r="E52" t="inlineStr">
        <is>
          <t>18:00</t>
        </is>
      </c>
      <c r="F52" s="5">
        <f>(TIME(VALUE(MID(E52,1,2)),VALUE(MID(E52,4,2)),0)-TIME(VALUE(MID(D52,1,2)),VALUE(MID(D52,4,2)),0))*24</f>
        <v/>
      </c>
      <c r="G52" s="7" t="inlineStr">
        <is>
          <t>Present</t>
        </is>
      </c>
      <c r="H52" s="5">
        <f>IF(F52&gt;8,F52-8,0)</f>
        <v/>
      </c>
      <c r="I52" t="inlineStr"/>
    </row>
    <row r="53">
      <c r="A53" t="inlineStr">
        <is>
          <t>EMP002</t>
        </is>
      </c>
      <c r="B53" t="inlineStr">
        <is>
          <t>Priya Sharma</t>
        </is>
      </c>
      <c r="C53" s="2" t="n">
        <v>46131.96581676278</v>
      </c>
      <c r="D53" t="inlineStr">
        <is>
          <t>09:00</t>
        </is>
      </c>
      <c r="E53" t="inlineStr">
        <is>
          <t>18:00</t>
        </is>
      </c>
      <c r="F53" s="5">
        <f>(TIME(VALUE(MID(E53,1,2)),VALUE(MID(E53,4,2)),0)-TIME(VALUE(MID(D53,1,2)),VALUE(MID(D53,4,2)),0))*24</f>
        <v/>
      </c>
      <c r="G53" s="7" t="inlineStr">
        <is>
          <t>Present</t>
        </is>
      </c>
      <c r="H53" s="5">
        <f>IF(F53&gt;8,F53-8,0)</f>
        <v/>
      </c>
      <c r="I53" t="inlineStr"/>
    </row>
    <row r="54">
      <c r="A54" t="inlineStr">
        <is>
          <t>EMP003</t>
        </is>
      </c>
      <c r="B54" t="inlineStr">
        <is>
          <t>Amit Patel</t>
        </is>
      </c>
      <c r="C54" s="2" t="n">
        <v>46131.96581676278</v>
      </c>
      <c r="D54" t="inlineStr">
        <is>
          <t>09:00</t>
        </is>
      </c>
      <c r="E54" t="inlineStr">
        <is>
          <t>13:00</t>
        </is>
      </c>
      <c r="F54" s="5">
        <f>(TIME(VALUE(MID(E54,1,2)),VALUE(MID(E54,4,2)),0)-TIME(VALUE(MID(D54,1,2)),VALUE(MID(D54,4,2)),0))*24</f>
        <v/>
      </c>
      <c r="G54" t="inlineStr">
        <is>
          <t>Half Day</t>
        </is>
      </c>
      <c r="H54" s="5">
        <f>IF(F54&gt;8,F54-8,0)</f>
        <v/>
      </c>
      <c r="I54" t="inlineStr">
        <is>
          <t>Personal work</t>
        </is>
      </c>
    </row>
    <row r="55">
      <c r="A55" t="inlineStr">
        <is>
          <t>EMP004</t>
        </is>
      </c>
      <c r="B55" t="inlineStr">
        <is>
          <t>Neha Singh</t>
        </is>
      </c>
      <c r="C55" s="2" t="n">
        <v>46131.96581676278</v>
      </c>
      <c r="D55" t="inlineStr">
        <is>
          <t>09:00</t>
        </is>
      </c>
      <c r="E55" t="inlineStr">
        <is>
          <t>13:00</t>
        </is>
      </c>
      <c r="F55" s="5">
        <f>(TIME(VALUE(MID(E55,1,2)),VALUE(MID(E55,4,2)),0)-TIME(VALUE(MID(D55,1,2)),VALUE(MID(D55,4,2)),0))*24</f>
        <v/>
      </c>
      <c r="G55" t="inlineStr">
        <is>
          <t>Half Day</t>
        </is>
      </c>
      <c r="H55" s="5">
        <f>IF(F55&gt;8,F55-8,0)</f>
        <v/>
      </c>
      <c r="I55" t="inlineStr">
        <is>
          <t>Personal work</t>
        </is>
      </c>
    </row>
    <row r="56">
      <c r="A56" t="inlineStr">
        <is>
          <t>EMP005</t>
        </is>
      </c>
      <c r="B56" t="inlineStr">
        <is>
          <t>Vikram Reddy</t>
        </is>
      </c>
      <c r="C56" s="2" t="n">
        <v>46131.96581676278</v>
      </c>
      <c r="D56" t="inlineStr">
        <is>
          <t>09:00</t>
        </is>
      </c>
      <c r="E56" t="inlineStr">
        <is>
          <t>13:00</t>
        </is>
      </c>
      <c r="F56" s="5">
        <f>(TIME(VALUE(MID(E56,1,2)),VALUE(MID(E56,4,2)),0)-TIME(VALUE(MID(D56,1,2)),VALUE(MID(D56,4,2)),0))*24</f>
        <v/>
      </c>
      <c r="G56" t="inlineStr">
        <is>
          <t>Half Day</t>
        </is>
      </c>
      <c r="H56" s="5">
        <f>IF(F56&gt;8,F56-8,0)</f>
        <v/>
      </c>
      <c r="I56" t="inlineStr">
        <is>
          <t>Personal work</t>
        </is>
      </c>
    </row>
    <row r="57">
      <c r="A57" t="inlineStr">
        <is>
          <t>EMP006</t>
        </is>
      </c>
      <c r="B57" t="inlineStr">
        <is>
          <t>Ananya Iyer</t>
        </is>
      </c>
      <c r="C57" s="2" t="n">
        <v>46131.96581676278</v>
      </c>
      <c r="D57" t="inlineStr">
        <is>
          <t>09:45</t>
        </is>
      </c>
      <c r="E57" t="inlineStr">
        <is>
          <t>18:00</t>
        </is>
      </c>
      <c r="F57" s="5">
        <f>(TIME(VALUE(MID(E57,1,2)),VALUE(MID(E57,4,2)),0)-TIME(VALUE(MID(D57,1,2)),VALUE(MID(D57,4,2)),0))*24</f>
        <v/>
      </c>
      <c r="G57" s="8" t="inlineStr">
        <is>
          <t>Late</t>
        </is>
      </c>
      <c r="H57" s="5">
        <f>IF(F57&gt;8,F57-8,0)</f>
        <v/>
      </c>
      <c r="I57" t="inlineStr">
        <is>
          <t>Traffic delay</t>
        </is>
      </c>
    </row>
    <row r="58">
      <c r="A58" t="inlineStr">
        <is>
          <t>EMP007</t>
        </is>
      </c>
      <c r="B58" t="inlineStr">
        <is>
          <t>Karthik Menon</t>
        </is>
      </c>
      <c r="C58" s="2" t="n">
        <v>46131.96581676278</v>
      </c>
      <c r="D58" t="inlineStr">
        <is>
          <t>09:45</t>
        </is>
      </c>
      <c r="E58" t="inlineStr">
        <is>
          <t>18:00</t>
        </is>
      </c>
      <c r="F58" s="5">
        <f>(TIME(VALUE(MID(E58,1,2)),VALUE(MID(E58,4,2)),0)-TIME(VALUE(MID(D58,1,2)),VALUE(MID(D58,4,2)),0))*24</f>
        <v/>
      </c>
      <c r="G58" s="8" t="inlineStr">
        <is>
          <t>Late</t>
        </is>
      </c>
      <c r="H58" s="5">
        <f>IF(F58&gt;8,F58-8,0)</f>
        <v/>
      </c>
      <c r="I58" t="inlineStr">
        <is>
          <t>Traffic delay</t>
        </is>
      </c>
    </row>
    <row r="59">
      <c r="A59" t="inlineStr">
        <is>
          <t>EMP008</t>
        </is>
      </c>
      <c r="B59" t="inlineStr">
        <is>
          <t>Divya Nair</t>
        </is>
      </c>
      <c r="C59" s="2" t="n">
        <v>46131.96581676278</v>
      </c>
      <c r="D59" t="inlineStr">
        <is>
          <t>09:00</t>
        </is>
      </c>
      <c r="E59" t="inlineStr">
        <is>
          <t>18:00</t>
        </is>
      </c>
      <c r="F59" s="5">
        <f>(TIME(VALUE(MID(E59,1,2)),VALUE(MID(E59,4,2)),0)-TIME(VALUE(MID(D59,1,2)),VALUE(MID(D59,4,2)),0))*24</f>
        <v/>
      </c>
      <c r="G59" s="7" t="inlineStr">
        <is>
          <t>Present</t>
        </is>
      </c>
      <c r="H59" s="5">
        <f>IF(F59&gt;8,F59-8,0)</f>
        <v/>
      </c>
      <c r="I59" t="inlineStr"/>
    </row>
    <row r="60">
      <c r="A60" t="inlineStr">
        <is>
          <t>EMP009</t>
        </is>
      </c>
      <c r="B60" t="inlineStr">
        <is>
          <t>Rahul Verma</t>
        </is>
      </c>
      <c r="C60" s="2" t="n">
        <v>46131.96581676278</v>
      </c>
      <c r="D60" t="inlineStr">
        <is>
          <t>09:45</t>
        </is>
      </c>
      <c r="E60" t="inlineStr">
        <is>
          <t>18:00</t>
        </is>
      </c>
      <c r="F60" s="5">
        <f>(TIME(VALUE(MID(E60,1,2)),VALUE(MID(E60,4,2)),0)-TIME(VALUE(MID(D60,1,2)),VALUE(MID(D60,4,2)),0))*24</f>
        <v/>
      </c>
      <c r="G60" s="8" t="inlineStr">
        <is>
          <t>Late</t>
        </is>
      </c>
      <c r="H60" s="5">
        <f>IF(F60&gt;8,F60-8,0)</f>
        <v/>
      </c>
      <c r="I60" t="inlineStr">
        <is>
          <t>Traffic delay</t>
        </is>
      </c>
    </row>
    <row r="61">
      <c r="A61" t="inlineStr">
        <is>
          <t>EMP010</t>
        </is>
      </c>
      <c r="B61" t="inlineStr">
        <is>
          <t>Sneha Desai</t>
        </is>
      </c>
      <c r="C61" s="2" t="n">
        <v>46131.96581676278</v>
      </c>
      <c r="D61" t="inlineStr">
        <is>
          <t>09:45</t>
        </is>
      </c>
      <c r="E61" t="inlineStr">
        <is>
          <t>18:00</t>
        </is>
      </c>
      <c r="F61" s="5">
        <f>(TIME(VALUE(MID(E61,1,2)),VALUE(MID(E61,4,2)),0)-TIME(VALUE(MID(D61,1,2)),VALUE(MID(D61,4,2)),0))*24</f>
        <v/>
      </c>
      <c r="G61" s="8" t="inlineStr">
        <is>
          <t>Late</t>
        </is>
      </c>
      <c r="H61" s="5">
        <f>IF(F61&gt;8,F61-8,0)</f>
        <v/>
      </c>
      <c r="I61" t="inlineStr">
        <is>
          <t>Traffic delay</t>
        </is>
      </c>
    </row>
    <row r="62">
      <c r="A62" t="inlineStr">
        <is>
          <t>EMP001</t>
        </is>
      </c>
      <c r="B62" t="inlineStr">
        <is>
          <t>Rajesh Kumar</t>
        </is>
      </c>
      <c r="C62" s="2" t="n">
        <v>46132.96581676278</v>
      </c>
      <c r="D62" t="inlineStr">
        <is>
          <t>09:00</t>
        </is>
      </c>
      <c r="E62" t="inlineStr">
        <is>
          <t>18:00</t>
        </is>
      </c>
      <c r="F62" s="5">
        <f>(TIME(VALUE(MID(E62,1,2)),VALUE(MID(E62,4,2)),0)-TIME(VALUE(MID(D62,1,2)),VALUE(MID(D62,4,2)),0))*24</f>
        <v/>
      </c>
      <c r="G62" s="7" t="inlineStr">
        <is>
          <t>Present</t>
        </is>
      </c>
      <c r="H62" s="5">
        <f>IF(F62&gt;8,F62-8,0)</f>
        <v/>
      </c>
      <c r="I62" t="inlineStr"/>
    </row>
    <row r="63">
      <c r="A63" t="inlineStr">
        <is>
          <t>EMP002</t>
        </is>
      </c>
      <c r="B63" t="inlineStr">
        <is>
          <t>Priya Sharma</t>
        </is>
      </c>
      <c r="C63" s="2" t="n">
        <v>46132.96581676278</v>
      </c>
      <c r="D63" t="inlineStr">
        <is>
          <t>09:00</t>
        </is>
      </c>
      <c r="E63" t="inlineStr">
        <is>
          <t>18:00</t>
        </is>
      </c>
      <c r="F63" s="5">
        <f>(TIME(VALUE(MID(E63,1,2)),VALUE(MID(E63,4,2)),0)-TIME(VALUE(MID(D63,1,2)),VALUE(MID(D63,4,2)),0))*24</f>
        <v/>
      </c>
      <c r="G63" s="7" t="inlineStr">
        <is>
          <t>Present</t>
        </is>
      </c>
      <c r="H63" s="5">
        <f>IF(F63&gt;8,F63-8,0)</f>
        <v/>
      </c>
      <c r="I63" t="inlineStr"/>
    </row>
    <row r="64">
      <c r="A64" t="inlineStr">
        <is>
          <t>EMP003</t>
        </is>
      </c>
      <c r="B64" t="inlineStr">
        <is>
          <t>Amit Patel</t>
        </is>
      </c>
      <c r="C64" s="2" t="n">
        <v>46132.96581676278</v>
      </c>
      <c r="D64" t="inlineStr">
        <is>
          <t>09:45</t>
        </is>
      </c>
      <c r="E64" t="inlineStr">
        <is>
          <t>18:00</t>
        </is>
      </c>
      <c r="F64" s="5">
        <f>(TIME(VALUE(MID(E64,1,2)),VALUE(MID(E64,4,2)),0)-TIME(VALUE(MID(D64,1,2)),VALUE(MID(D64,4,2)),0))*24</f>
        <v/>
      </c>
      <c r="G64" s="8" t="inlineStr">
        <is>
          <t>Late</t>
        </is>
      </c>
      <c r="H64" s="5">
        <f>IF(F64&gt;8,F64-8,0)</f>
        <v/>
      </c>
      <c r="I64" t="inlineStr">
        <is>
          <t>Traffic delay</t>
        </is>
      </c>
    </row>
    <row r="65">
      <c r="A65" t="inlineStr">
        <is>
          <t>EMP004</t>
        </is>
      </c>
      <c r="B65" t="inlineStr">
        <is>
          <t>Neha Singh</t>
        </is>
      </c>
      <c r="C65" s="2" t="n">
        <v>46132.96581676278</v>
      </c>
      <c r="D65" t="inlineStr">
        <is>
          <t>09:45</t>
        </is>
      </c>
      <c r="E65" t="inlineStr">
        <is>
          <t>18:00</t>
        </is>
      </c>
      <c r="F65" s="5">
        <f>(TIME(VALUE(MID(E65,1,2)),VALUE(MID(E65,4,2)),0)-TIME(VALUE(MID(D65,1,2)),VALUE(MID(D65,4,2)),0))*24</f>
        <v/>
      </c>
      <c r="G65" s="8" t="inlineStr">
        <is>
          <t>Late</t>
        </is>
      </c>
      <c r="H65" s="5">
        <f>IF(F65&gt;8,F65-8,0)</f>
        <v/>
      </c>
      <c r="I65" t="inlineStr">
        <is>
          <t>Traffic delay</t>
        </is>
      </c>
    </row>
    <row r="66">
      <c r="A66" t="inlineStr">
        <is>
          <t>EMP005</t>
        </is>
      </c>
      <c r="B66" t="inlineStr">
        <is>
          <t>Vikram Reddy</t>
        </is>
      </c>
      <c r="C66" s="2" t="n">
        <v>46132.96581676278</v>
      </c>
      <c r="D66" t="inlineStr">
        <is>
          <t>09:45</t>
        </is>
      </c>
      <c r="E66" t="inlineStr">
        <is>
          <t>18:00</t>
        </is>
      </c>
      <c r="F66" s="5">
        <f>(TIME(VALUE(MID(E66,1,2)),VALUE(MID(E66,4,2)),0)-TIME(VALUE(MID(D66,1,2)),VALUE(MID(D66,4,2)),0))*24</f>
        <v/>
      </c>
      <c r="G66" s="8" t="inlineStr">
        <is>
          <t>Late</t>
        </is>
      </c>
      <c r="H66" s="5">
        <f>IF(F66&gt;8,F66-8,0)</f>
        <v/>
      </c>
      <c r="I66" t="inlineStr">
        <is>
          <t>Traffic delay</t>
        </is>
      </c>
    </row>
    <row r="67">
      <c r="A67" t="inlineStr">
        <is>
          <t>EMP006</t>
        </is>
      </c>
      <c r="B67" t="inlineStr">
        <is>
          <t>Ananya Iyer</t>
        </is>
      </c>
      <c r="C67" s="2" t="n">
        <v>46132.96581676278</v>
      </c>
      <c r="D67" t="inlineStr">
        <is>
          <t>09:00</t>
        </is>
      </c>
      <c r="E67" t="inlineStr">
        <is>
          <t>13:00</t>
        </is>
      </c>
      <c r="F67" s="5">
        <f>(TIME(VALUE(MID(E67,1,2)),VALUE(MID(E67,4,2)),0)-TIME(VALUE(MID(D67,1,2)),VALUE(MID(D67,4,2)),0))*24</f>
        <v/>
      </c>
      <c r="G67" t="inlineStr">
        <is>
          <t>Half Day</t>
        </is>
      </c>
      <c r="H67" s="5">
        <f>IF(F67&gt;8,F67-8,0)</f>
        <v/>
      </c>
      <c r="I67" t="inlineStr">
        <is>
          <t>Personal work</t>
        </is>
      </c>
    </row>
    <row r="68">
      <c r="A68" t="inlineStr">
        <is>
          <t>EMP007</t>
        </is>
      </c>
      <c r="B68" t="inlineStr">
        <is>
          <t>Karthik Menon</t>
        </is>
      </c>
      <c r="C68" s="2" t="n">
        <v>46132.96581676278</v>
      </c>
      <c r="D68" t="inlineStr">
        <is>
          <t>09:00</t>
        </is>
      </c>
      <c r="E68" t="inlineStr">
        <is>
          <t>18:00</t>
        </is>
      </c>
      <c r="F68" s="5">
        <f>(TIME(VALUE(MID(E68,1,2)),VALUE(MID(E68,4,2)),0)-TIME(VALUE(MID(D68,1,2)),VALUE(MID(D68,4,2)),0))*24</f>
        <v/>
      </c>
      <c r="G68" s="7" t="inlineStr">
        <is>
          <t>Present</t>
        </is>
      </c>
      <c r="H68" s="5">
        <f>IF(F68&gt;8,F68-8,0)</f>
        <v/>
      </c>
      <c r="I68" t="inlineStr"/>
    </row>
    <row r="69">
      <c r="A69" t="inlineStr">
        <is>
          <t>EMP008</t>
        </is>
      </c>
      <c r="B69" t="inlineStr">
        <is>
          <t>Divya Nair</t>
        </is>
      </c>
      <c r="C69" s="2" t="n">
        <v>46132.96581676278</v>
      </c>
      <c r="D69" t="inlineStr">
        <is>
          <t>09:00</t>
        </is>
      </c>
      <c r="E69" t="inlineStr">
        <is>
          <t>18:00</t>
        </is>
      </c>
      <c r="F69" s="5">
        <f>(TIME(VALUE(MID(E69,1,2)),VALUE(MID(E69,4,2)),0)-TIME(VALUE(MID(D69,1,2)),VALUE(MID(D69,4,2)),0))*24</f>
        <v/>
      </c>
      <c r="G69" s="7" t="inlineStr">
        <is>
          <t>Present</t>
        </is>
      </c>
      <c r="H69" s="5">
        <f>IF(F69&gt;8,F69-8,0)</f>
        <v/>
      </c>
      <c r="I69" t="inlineStr"/>
    </row>
    <row r="70">
      <c r="A70" t="inlineStr">
        <is>
          <t>EMP009</t>
        </is>
      </c>
      <c r="B70" t="inlineStr">
        <is>
          <t>Rahul Verma</t>
        </is>
      </c>
      <c r="C70" s="2" t="n">
        <v>46132.96581676278</v>
      </c>
      <c r="D70" t="inlineStr">
        <is>
          <t>09:00</t>
        </is>
      </c>
      <c r="E70" t="inlineStr">
        <is>
          <t>18:00</t>
        </is>
      </c>
      <c r="F70" s="5">
        <f>(TIME(VALUE(MID(E70,1,2)),VALUE(MID(E70,4,2)),0)-TIME(VALUE(MID(D70,1,2)),VALUE(MID(D70,4,2)),0))*24</f>
        <v/>
      </c>
      <c r="G70" s="7" t="inlineStr">
        <is>
          <t>Present</t>
        </is>
      </c>
      <c r="H70" s="5">
        <f>IF(F70&gt;8,F70-8,0)</f>
        <v/>
      </c>
      <c r="I70" t="inlineStr"/>
    </row>
    <row r="71">
      <c r="A71" t="inlineStr">
        <is>
          <t>EMP010</t>
        </is>
      </c>
      <c r="B71" t="inlineStr">
        <is>
          <t>Sneha Desai</t>
        </is>
      </c>
      <c r="C71" s="2" t="n">
        <v>46132.96581676278</v>
      </c>
      <c r="D71" t="inlineStr">
        <is>
          <t>09:00</t>
        </is>
      </c>
      <c r="E71" t="inlineStr">
        <is>
          <t>13:00</t>
        </is>
      </c>
      <c r="F71" s="5">
        <f>(TIME(VALUE(MID(E71,1,2)),VALUE(MID(E71,4,2)),0)-TIME(VALUE(MID(D71,1,2)),VALUE(MID(D71,4,2)),0))*24</f>
        <v/>
      </c>
      <c r="G71" t="inlineStr">
        <is>
          <t>Half Day</t>
        </is>
      </c>
      <c r="H71" s="5">
        <f>IF(F71&gt;8,F71-8,0)</f>
        <v/>
      </c>
      <c r="I71" t="inlineStr">
        <is>
          <t>Personal work</t>
        </is>
      </c>
    </row>
    <row r="72">
      <c r="A72" t="inlineStr">
        <is>
          <t>EMP001</t>
        </is>
      </c>
      <c r="B72" t="inlineStr">
        <is>
          <t>Rajesh Kumar</t>
        </is>
      </c>
      <c r="C72" s="2" t="n">
        <v>46133.96581676278</v>
      </c>
      <c r="D72" t="inlineStr"/>
      <c r="E72" t="inlineStr"/>
      <c r="F72" s="5" t="inlineStr"/>
      <c r="G72" s="6" t="inlineStr">
        <is>
          <t>Absent</t>
        </is>
      </c>
      <c r="H72" s="5" t="inlineStr"/>
      <c r="I72" t="inlineStr">
        <is>
          <t>Sick leave</t>
        </is>
      </c>
    </row>
    <row r="73">
      <c r="A73" t="inlineStr">
        <is>
          <t>EMP002</t>
        </is>
      </c>
      <c r="B73" t="inlineStr">
        <is>
          <t>Priya Sharma</t>
        </is>
      </c>
      <c r="C73" s="2" t="n">
        <v>46133.96581676278</v>
      </c>
      <c r="D73" t="inlineStr">
        <is>
          <t>09:45</t>
        </is>
      </c>
      <c r="E73" t="inlineStr">
        <is>
          <t>18:00</t>
        </is>
      </c>
      <c r="F73" s="5">
        <f>(TIME(VALUE(MID(E73,1,2)),VALUE(MID(E73,4,2)),0)-TIME(VALUE(MID(D73,1,2)),VALUE(MID(D73,4,2)),0))*24</f>
        <v/>
      </c>
      <c r="G73" s="8" t="inlineStr">
        <is>
          <t>Late</t>
        </is>
      </c>
      <c r="H73" s="5">
        <f>IF(F73&gt;8,F73-8,0)</f>
        <v/>
      </c>
      <c r="I73" t="inlineStr">
        <is>
          <t>Traffic delay</t>
        </is>
      </c>
    </row>
    <row r="74">
      <c r="A74" t="inlineStr">
        <is>
          <t>EMP003</t>
        </is>
      </c>
      <c r="B74" t="inlineStr">
        <is>
          <t>Amit Patel</t>
        </is>
      </c>
      <c r="C74" s="2" t="n">
        <v>46133.96581676278</v>
      </c>
      <c r="D74" t="inlineStr">
        <is>
          <t>09:00</t>
        </is>
      </c>
      <c r="E74" t="inlineStr">
        <is>
          <t>18:00</t>
        </is>
      </c>
      <c r="F74" s="5">
        <f>(TIME(VALUE(MID(E74,1,2)),VALUE(MID(E74,4,2)),0)-TIME(VALUE(MID(D74,1,2)),VALUE(MID(D74,4,2)),0))*24</f>
        <v/>
      </c>
      <c r="G74" s="7" t="inlineStr">
        <is>
          <t>Present</t>
        </is>
      </c>
      <c r="H74" s="5">
        <f>IF(F74&gt;8,F74-8,0)</f>
        <v/>
      </c>
      <c r="I74" t="inlineStr"/>
    </row>
    <row r="75">
      <c r="A75" t="inlineStr">
        <is>
          <t>EMP004</t>
        </is>
      </c>
      <c r="B75" t="inlineStr">
        <is>
          <t>Neha Singh</t>
        </is>
      </c>
      <c r="C75" s="2" t="n">
        <v>46133.96581676278</v>
      </c>
      <c r="D75" t="inlineStr">
        <is>
          <t>09:00</t>
        </is>
      </c>
      <c r="E75" t="inlineStr">
        <is>
          <t>13:00</t>
        </is>
      </c>
      <c r="F75" s="5">
        <f>(TIME(VALUE(MID(E75,1,2)),VALUE(MID(E75,4,2)),0)-TIME(VALUE(MID(D75,1,2)),VALUE(MID(D75,4,2)),0))*24</f>
        <v/>
      </c>
      <c r="G75" t="inlineStr">
        <is>
          <t>Half Day</t>
        </is>
      </c>
      <c r="H75" s="5">
        <f>IF(F75&gt;8,F75-8,0)</f>
        <v/>
      </c>
      <c r="I75" t="inlineStr">
        <is>
          <t>Personal work</t>
        </is>
      </c>
    </row>
    <row r="76">
      <c r="A76" t="inlineStr">
        <is>
          <t>EMP005</t>
        </is>
      </c>
      <c r="B76" t="inlineStr">
        <is>
          <t>Vikram Reddy</t>
        </is>
      </c>
      <c r="C76" s="2" t="n">
        <v>46133.96581676278</v>
      </c>
      <c r="D76" t="inlineStr"/>
      <c r="E76" t="inlineStr"/>
      <c r="F76" s="5" t="inlineStr"/>
      <c r="G76" s="6" t="inlineStr">
        <is>
          <t>Absent</t>
        </is>
      </c>
      <c r="H76" s="5" t="inlineStr"/>
      <c r="I76" t="inlineStr">
        <is>
          <t>Sick leave</t>
        </is>
      </c>
    </row>
    <row r="77">
      <c r="A77" t="inlineStr">
        <is>
          <t>EMP006</t>
        </is>
      </c>
      <c r="B77" t="inlineStr">
        <is>
          <t>Ananya Iyer</t>
        </is>
      </c>
      <c r="C77" s="2" t="n">
        <v>46133.96581676278</v>
      </c>
      <c r="D77" t="inlineStr">
        <is>
          <t>09:00</t>
        </is>
      </c>
      <c r="E77" t="inlineStr">
        <is>
          <t>18:00</t>
        </is>
      </c>
      <c r="F77" s="5">
        <f>(TIME(VALUE(MID(E77,1,2)),VALUE(MID(E77,4,2)),0)-TIME(VALUE(MID(D77,1,2)),VALUE(MID(D77,4,2)),0))*24</f>
        <v/>
      </c>
      <c r="G77" s="7" t="inlineStr">
        <is>
          <t>Present</t>
        </is>
      </c>
      <c r="H77" s="5">
        <f>IF(F77&gt;8,F77-8,0)</f>
        <v/>
      </c>
      <c r="I77" t="inlineStr"/>
    </row>
    <row r="78">
      <c r="A78" t="inlineStr">
        <is>
          <t>EMP007</t>
        </is>
      </c>
      <c r="B78" t="inlineStr">
        <is>
          <t>Karthik Menon</t>
        </is>
      </c>
      <c r="C78" s="2" t="n">
        <v>46133.96581676278</v>
      </c>
      <c r="D78" t="inlineStr">
        <is>
          <t>09:00</t>
        </is>
      </c>
      <c r="E78" t="inlineStr">
        <is>
          <t>13:00</t>
        </is>
      </c>
      <c r="F78" s="5">
        <f>(TIME(VALUE(MID(E78,1,2)),VALUE(MID(E78,4,2)),0)-TIME(VALUE(MID(D78,1,2)),VALUE(MID(D78,4,2)),0))*24</f>
        <v/>
      </c>
      <c r="G78" t="inlineStr">
        <is>
          <t>Half Day</t>
        </is>
      </c>
      <c r="H78" s="5">
        <f>IF(F78&gt;8,F78-8,0)</f>
        <v/>
      </c>
      <c r="I78" t="inlineStr">
        <is>
          <t>Personal work</t>
        </is>
      </c>
    </row>
    <row r="79">
      <c r="A79" t="inlineStr">
        <is>
          <t>EMP008</t>
        </is>
      </c>
      <c r="B79" t="inlineStr">
        <is>
          <t>Divya Nair</t>
        </is>
      </c>
      <c r="C79" s="2" t="n">
        <v>46133.96581676278</v>
      </c>
      <c r="D79" t="inlineStr">
        <is>
          <t>09:00</t>
        </is>
      </c>
      <c r="E79" t="inlineStr">
        <is>
          <t>18:00</t>
        </is>
      </c>
      <c r="F79" s="5">
        <f>(TIME(VALUE(MID(E79,1,2)),VALUE(MID(E79,4,2)),0)-TIME(VALUE(MID(D79,1,2)),VALUE(MID(D79,4,2)),0))*24</f>
        <v/>
      </c>
      <c r="G79" s="7" t="inlineStr">
        <is>
          <t>Present</t>
        </is>
      </c>
      <c r="H79" s="5">
        <f>IF(F79&gt;8,F79-8,0)</f>
        <v/>
      </c>
      <c r="I79" t="inlineStr"/>
    </row>
    <row r="80">
      <c r="A80" t="inlineStr">
        <is>
          <t>EMP009</t>
        </is>
      </c>
      <c r="B80" t="inlineStr">
        <is>
          <t>Rahul Verma</t>
        </is>
      </c>
      <c r="C80" s="2" t="n">
        <v>46133.96581676278</v>
      </c>
      <c r="D80" t="inlineStr"/>
      <c r="E80" t="inlineStr"/>
      <c r="F80" s="5" t="inlineStr"/>
      <c r="G80" s="6" t="inlineStr">
        <is>
          <t>Absent</t>
        </is>
      </c>
      <c r="H80" s="5" t="inlineStr"/>
      <c r="I80" t="inlineStr">
        <is>
          <t>Sick leave</t>
        </is>
      </c>
    </row>
    <row r="81">
      <c r="A81" t="inlineStr">
        <is>
          <t>EMP010</t>
        </is>
      </c>
      <c r="B81" t="inlineStr">
        <is>
          <t>Sneha Desai</t>
        </is>
      </c>
      <c r="C81" s="2" t="n">
        <v>46133.96581676278</v>
      </c>
      <c r="D81" t="inlineStr">
        <is>
          <t>09:00</t>
        </is>
      </c>
      <c r="E81" t="inlineStr">
        <is>
          <t>18:00</t>
        </is>
      </c>
      <c r="F81" s="5">
        <f>(TIME(VALUE(MID(E81,1,2)),VALUE(MID(E81,4,2)),0)-TIME(VALUE(MID(D81,1,2)),VALUE(MID(D81,4,2)),0))*24</f>
        <v/>
      </c>
      <c r="G81" s="7" t="inlineStr">
        <is>
          <t>Present</t>
        </is>
      </c>
      <c r="H81" s="5">
        <f>IF(F81&gt;8,F81-8,0)</f>
        <v/>
      </c>
      <c r="I81" t="inlineStr"/>
    </row>
    <row r="82">
      <c r="A82" t="inlineStr">
        <is>
          <t>EMP001</t>
        </is>
      </c>
      <c r="B82" t="inlineStr">
        <is>
          <t>Rajesh Kumar</t>
        </is>
      </c>
      <c r="C82" s="2" t="n">
        <v>46134.96581676278</v>
      </c>
      <c r="D82" t="inlineStr">
        <is>
          <t>09:45</t>
        </is>
      </c>
      <c r="E82" t="inlineStr">
        <is>
          <t>18:00</t>
        </is>
      </c>
      <c r="F82" s="5">
        <f>(TIME(VALUE(MID(E82,1,2)),VALUE(MID(E82,4,2)),0)-TIME(VALUE(MID(D82,1,2)),VALUE(MID(D82,4,2)),0))*24</f>
        <v/>
      </c>
      <c r="G82" s="8" t="inlineStr">
        <is>
          <t>Late</t>
        </is>
      </c>
      <c r="H82" s="5">
        <f>IF(F82&gt;8,F82-8,0)</f>
        <v/>
      </c>
      <c r="I82" t="inlineStr">
        <is>
          <t>Traffic delay</t>
        </is>
      </c>
    </row>
    <row r="83">
      <c r="A83" t="inlineStr">
        <is>
          <t>EMP002</t>
        </is>
      </c>
      <c r="B83" t="inlineStr">
        <is>
          <t>Priya Sharma</t>
        </is>
      </c>
      <c r="C83" s="2" t="n">
        <v>46134.96581676278</v>
      </c>
      <c r="D83" t="inlineStr">
        <is>
          <t>09:00</t>
        </is>
      </c>
      <c r="E83" t="inlineStr">
        <is>
          <t>13:00</t>
        </is>
      </c>
      <c r="F83" s="5">
        <f>(TIME(VALUE(MID(E83,1,2)),VALUE(MID(E83,4,2)),0)-TIME(VALUE(MID(D83,1,2)),VALUE(MID(D83,4,2)),0))*24</f>
        <v/>
      </c>
      <c r="G83" t="inlineStr">
        <is>
          <t>Half Day</t>
        </is>
      </c>
      <c r="H83" s="5">
        <f>IF(F83&gt;8,F83-8,0)</f>
        <v/>
      </c>
      <c r="I83" t="inlineStr">
        <is>
          <t>Personal work</t>
        </is>
      </c>
    </row>
    <row r="84">
      <c r="A84" t="inlineStr">
        <is>
          <t>EMP003</t>
        </is>
      </c>
      <c r="B84" t="inlineStr">
        <is>
          <t>Amit Patel</t>
        </is>
      </c>
      <c r="C84" s="2" t="n">
        <v>46134.96581676278</v>
      </c>
      <c r="D84" t="inlineStr">
        <is>
          <t>09:00</t>
        </is>
      </c>
      <c r="E84" t="inlineStr">
        <is>
          <t>18:00</t>
        </is>
      </c>
      <c r="F84" s="5">
        <f>(TIME(VALUE(MID(E84,1,2)),VALUE(MID(E84,4,2)),0)-TIME(VALUE(MID(D84,1,2)),VALUE(MID(D84,4,2)),0))*24</f>
        <v/>
      </c>
      <c r="G84" s="7" t="inlineStr">
        <is>
          <t>Present</t>
        </is>
      </c>
      <c r="H84" s="5">
        <f>IF(F84&gt;8,F84-8,0)</f>
        <v/>
      </c>
      <c r="I84" t="inlineStr"/>
    </row>
    <row r="85">
      <c r="A85" t="inlineStr">
        <is>
          <t>EMP004</t>
        </is>
      </c>
      <c r="B85" t="inlineStr">
        <is>
          <t>Neha Singh</t>
        </is>
      </c>
      <c r="C85" s="2" t="n">
        <v>46134.96581676278</v>
      </c>
      <c r="D85" t="inlineStr"/>
      <c r="E85" t="inlineStr"/>
      <c r="F85" s="5" t="inlineStr"/>
      <c r="G85" s="6" t="inlineStr">
        <is>
          <t>Absent</t>
        </is>
      </c>
      <c r="H85" s="5" t="inlineStr"/>
      <c r="I85" t="inlineStr">
        <is>
          <t>Sick leave</t>
        </is>
      </c>
    </row>
    <row r="86">
      <c r="A86" t="inlineStr">
        <is>
          <t>EMP005</t>
        </is>
      </c>
      <c r="B86" t="inlineStr">
        <is>
          <t>Vikram Reddy</t>
        </is>
      </c>
      <c r="C86" s="2" t="n">
        <v>46134.96581676278</v>
      </c>
      <c r="D86" t="inlineStr">
        <is>
          <t>09:00</t>
        </is>
      </c>
      <c r="E86" t="inlineStr">
        <is>
          <t>18:00</t>
        </is>
      </c>
      <c r="F86" s="5">
        <f>(TIME(VALUE(MID(E86,1,2)),VALUE(MID(E86,4,2)),0)-TIME(VALUE(MID(D86,1,2)),VALUE(MID(D86,4,2)),0))*24</f>
        <v/>
      </c>
      <c r="G86" s="7" t="inlineStr">
        <is>
          <t>Present</t>
        </is>
      </c>
      <c r="H86" s="5">
        <f>IF(F86&gt;8,F86-8,0)</f>
        <v/>
      </c>
      <c r="I86" t="inlineStr"/>
    </row>
    <row r="87">
      <c r="A87" t="inlineStr">
        <is>
          <t>EMP006</t>
        </is>
      </c>
      <c r="B87" t="inlineStr">
        <is>
          <t>Ananya Iyer</t>
        </is>
      </c>
      <c r="C87" s="2" t="n">
        <v>46134.96581676278</v>
      </c>
      <c r="D87" t="inlineStr">
        <is>
          <t>09:00</t>
        </is>
      </c>
      <c r="E87" t="inlineStr">
        <is>
          <t>18:00</t>
        </is>
      </c>
      <c r="F87" s="5">
        <f>(TIME(VALUE(MID(E87,1,2)),VALUE(MID(E87,4,2)),0)-TIME(VALUE(MID(D87,1,2)),VALUE(MID(D87,4,2)),0))*24</f>
        <v/>
      </c>
      <c r="G87" s="7" t="inlineStr">
        <is>
          <t>Present</t>
        </is>
      </c>
      <c r="H87" s="5">
        <f>IF(F87&gt;8,F87-8,0)</f>
        <v/>
      </c>
      <c r="I87" t="inlineStr"/>
    </row>
    <row r="88">
      <c r="A88" t="inlineStr">
        <is>
          <t>EMP007</t>
        </is>
      </c>
      <c r="B88" t="inlineStr">
        <is>
          <t>Karthik Menon</t>
        </is>
      </c>
      <c r="C88" s="2" t="n">
        <v>46134.96581676278</v>
      </c>
      <c r="D88" t="inlineStr">
        <is>
          <t>09:00</t>
        </is>
      </c>
      <c r="E88" t="inlineStr">
        <is>
          <t>18:00</t>
        </is>
      </c>
      <c r="F88" s="5">
        <f>(TIME(VALUE(MID(E88,1,2)),VALUE(MID(E88,4,2)),0)-TIME(VALUE(MID(D88,1,2)),VALUE(MID(D88,4,2)),0))*24</f>
        <v/>
      </c>
      <c r="G88" s="7" t="inlineStr">
        <is>
          <t>Present</t>
        </is>
      </c>
      <c r="H88" s="5">
        <f>IF(F88&gt;8,F88-8,0)</f>
        <v/>
      </c>
      <c r="I88" t="inlineStr"/>
    </row>
    <row r="89">
      <c r="A89" t="inlineStr">
        <is>
          <t>EMP008</t>
        </is>
      </c>
      <c r="B89" t="inlineStr">
        <is>
          <t>Divya Nair</t>
        </is>
      </c>
      <c r="C89" s="2" t="n">
        <v>46134.96581676278</v>
      </c>
      <c r="D89" t="inlineStr">
        <is>
          <t>09:00</t>
        </is>
      </c>
      <c r="E89" t="inlineStr">
        <is>
          <t>18:00</t>
        </is>
      </c>
      <c r="F89" s="5">
        <f>(TIME(VALUE(MID(E89,1,2)),VALUE(MID(E89,4,2)),0)-TIME(VALUE(MID(D89,1,2)),VALUE(MID(D89,4,2)),0))*24</f>
        <v/>
      </c>
      <c r="G89" s="7" t="inlineStr">
        <is>
          <t>Present</t>
        </is>
      </c>
      <c r="H89" s="5">
        <f>IF(F89&gt;8,F89-8,0)</f>
        <v/>
      </c>
      <c r="I89" t="inlineStr"/>
    </row>
    <row r="90">
      <c r="A90" t="inlineStr">
        <is>
          <t>EMP009</t>
        </is>
      </c>
      <c r="B90" t="inlineStr">
        <is>
          <t>Rahul Verma</t>
        </is>
      </c>
      <c r="C90" s="2" t="n">
        <v>46134.96581676278</v>
      </c>
      <c r="D90" t="inlineStr">
        <is>
          <t>09:00</t>
        </is>
      </c>
      <c r="E90" t="inlineStr">
        <is>
          <t>18:00</t>
        </is>
      </c>
      <c r="F90" s="5">
        <f>(TIME(VALUE(MID(E90,1,2)),VALUE(MID(E90,4,2)),0)-TIME(VALUE(MID(D90,1,2)),VALUE(MID(D90,4,2)),0))*24</f>
        <v/>
      </c>
      <c r="G90" s="7" t="inlineStr">
        <is>
          <t>Present</t>
        </is>
      </c>
      <c r="H90" s="5">
        <f>IF(F90&gt;8,F90-8,0)</f>
        <v/>
      </c>
      <c r="I90" t="inlineStr"/>
    </row>
    <row r="91">
      <c r="A91" t="inlineStr">
        <is>
          <t>EMP010</t>
        </is>
      </c>
      <c r="B91" t="inlineStr">
        <is>
          <t>Sneha Desai</t>
        </is>
      </c>
      <c r="C91" s="2" t="n">
        <v>46134.96581676278</v>
      </c>
      <c r="D91" t="inlineStr">
        <is>
          <t>09:00</t>
        </is>
      </c>
      <c r="E91" t="inlineStr">
        <is>
          <t>18:00</t>
        </is>
      </c>
      <c r="F91" s="5">
        <f>(TIME(VALUE(MID(E91,1,2)),VALUE(MID(E91,4,2)),0)-TIME(VALUE(MID(D91,1,2)),VALUE(MID(D91,4,2)),0))*24</f>
        <v/>
      </c>
      <c r="G91" s="7" t="inlineStr">
        <is>
          <t>Present</t>
        </is>
      </c>
      <c r="H91" s="5">
        <f>IF(F91&gt;8,F91-8,0)</f>
        <v/>
      </c>
      <c r="I91" t="inlineStr"/>
    </row>
    <row r="92">
      <c r="A92" t="inlineStr">
        <is>
          <t>EMP001</t>
        </is>
      </c>
      <c r="B92" t="inlineStr">
        <is>
          <t>Rajesh Kumar</t>
        </is>
      </c>
      <c r="C92" s="2" t="n">
        <v>46135.96581676278</v>
      </c>
      <c r="D92" t="inlineStr">
        <is>
          <t>09:45</t>
        </is>
      </c>
      <c r="E92" t="inlineStr">
        <is>
          <t>18:00</t>
        </is>
      </c>
      <c r="F92" s="5">
        <f>(TIME(VALUE(MID(E92,1,2)),VALUE(MID(E92,4,2)),0)-TIME(VALUE(MID(D92,1,2)),VALUE(MID(D92,4,2)),0))*24</f>
        <v/>
      </c>
      <c r="G92" s="8" t="inlineStr">
        <is>
          <t>Late</t>
        </is>
      </c>
      <c r="H92" s="5">
        <f>IF(F92&gt;8,F92-8,0)</f>
        <v/>
      </c>
      <c r="I92" t="inlineStr">
        <is>
          <t>Traffic delay</t>
        </is>
      </c>
    </row>
    <row r="93">
      <c r="A93" t="inlineStr">
        <is>
          <t>EMP002</t>
        </is>
      </c>
      <c r="B93" t="inlineStr">
        <is>
          <t>Priya Sharma</t>
        </is>
      </c>
      <c r="C93" s="2" t="n">
        <v>46135.96581676278</v>
      </c>
      <c r="D93" t="inlineStr">
        <is>
          <t>09:00</t>
        </is>
      </c>
      <c r="E93" t="inlineStr">
        <is>
          <t>18:00</t>
        </is>
      </c>
      <c r="F93" s="5">
        <f>(TIME(VALUE(MID(E93,1,2)),VALUE(MID(E93,4,2)),0)-TIME(VALUE(MID(D93,1,2)),VALUE(MID(D93,4,2)),0))*24</f>
        <v/>
      </c>
      <c r="G93" s="7" t="inlineStr">
        <is>
          <t>Present</t>
        </is>
      </c>
      <c r="H93" s="5">
        <f>IF(F93&gt;8,F93-8,0)</f>
        <v/>
      </c>
      <c r="I93" t="inlineStr"/>
    </row>
    <row r="94">
      <c r="A94" t="inlineStr">
        <is>
          <t>EMP003</t>
        </is>
      </c>
      <c r="B94" t="inlineStr">
        <is>
          <t>Amit Patel</t>
        </is>
      </c>
      <c r="C94" s="2" t="n">
        <v>46135.96581676278</v>
      </c>
      <c r="D94" t="inlineStr"/>
      <c r="E94" t="inlineStr"/>
      <c r="F94" s="5" t="inlineStr"/>
      <c r="G94" s="6" t="inlineStr">
        <is>
          <t>Absent</t>
        </is>
      </c>
      <c r="H94" s="5" t="inlineStr"/>
      <c r="I94" t="inlineStr">
        <is>
          <t>Sick leave</t>
        </is>
      </c>
    </row>
    <row r="95">
      <c r="A95" t="inlineStr">
        <is>
          <t>EMP004</t>
        </is>
      </c>
      <c r="B95" t="inlineStr">
        <is>
          <t>Neha Singh</t>
        </is>
      </c>
      <c r="C95" s="2" t="n">
        <v>46135.96581676278</v>
      </c>
      <c r="D95" t="inlineStr">
        <is>
          <t>09:00</t>
        </is>
      </c>
      <c r="E95" t="inlineStr">
        <is>
          <t>18:00</t>
        </is>
      </c>
      <c r="F95" s="5">
        <f>(TIME(VALUE(MID(E95,1,2)),VALUE(MID(E95,4,2)),0)-TIME(VALUE(MID(D95,1,2)),VALUE(MID(D95,4,2)),0))*24</f>
        <v/>
      </c>
      <c r="G95" s="7" t="inlineStr">
        <is>
          <t>Present</t>
        </is>
      </c>
      <c r="H95" s="5">
        <f>IF(F95&gt;8,F95-8,0)</f>
        <v/>
      </c>
      <c r="I95" t="inlineStr"/>
    </row>
    <row r="96">
      <c r="A96" t="inlineStr">
        <is>
          <t>EMP005</t>
        </is>
      </c>
      <c r="B96" t="inlineStr">
        <is>
          <t>Vikram Reddy</t>
        </is>
      </c>
      <c r="C96" s="2" t="n">
        <v>46135.96581676278</v>
      </c>
      <c r="D96" t="inlineStr"/>
      <c r="E96" t="inlineStr"/>
      <c r="F96" s="5" t="inlineStr"/>
      <c r="G96" s="6" t="inlineStr">
        <is>
          <t>Absent</t>
        </is>
      </c>
      <c r="H96" s="5" t="inlineStr"/>
      <c r="I96" t="inlineStr">
        <is>
          <t>Sick leave</t>
        </is>
      </c>
    </row>
    <row r="97">
      <c r="A97" t="inlineStr">
        <is>
          <t>EMP006</t>
        </is>
      </c>
      <c r="B97" t="inlineStr">
        <is>
          <t>Ananya Iyer</t>
        </is>
      </c>
      <c r="C97" s="2" t="n">
        <v>46135.96581676278</v>
      </c>
      <c r="D97" t="inlineStr"/>
      <c r="E97" t="inlineStr"/>
      <c r="F97" s="5" t="inlineStr"/>
      <c r="G97" s="6" t="inlineStr">
        <is>
          <t>Absent</t>
        </is>
      </c>
      <c r="H97" s="5" t="inlineStr"/>
      <c r="I97" t="inlineStr">
        <is>
          <t>Sick leave</t>
        </is>
      </c>
    </row>
    <row r="98">
      <c r="A98" t="inlineStr">
        <is>
          <t>EMP007</t>
        </is>
      </c>
      <c r="B98" t="inlineStr">
        <is>
          <t>Karthik Menon</t>
        </is>
      </c>
      <c r="C98" s="2" t="n">
        <v>46135.96581676278</v>
      </c>
      <c r="D98" t="inlineStr">
        <is>
          <t>09:00</t>
        </is>
      </c>
      <c r="E98" t="inlineStr">
        <is>
          <t>18:00</t>
        </is>
      </c>
      <c r="F98" s="5">
        <f>(TIME(VALUE(MID(E98,1,2)),VALUE(MID(E98,4,2)),0)-TIME(VALUE(MID(D98,1,2)),VALUE(MID(D98,4,2)),0))*24</f>
        <v/>
      </c>
      <c r="G98" s="7" t="inlineStr">
        <is>
          <t>Present</t>
        </is>
      </c>
      <c r="H98" s="5">
        <f>IF(F98&gt;8,F98-8,0)</f>
        <v/>
      </c>
      <c r="I98" t="inlineStr"/>
    </row>
    <row r="99">
      <c r="A99" t="inlineStr">
        <is>
          <t>EMP008</t>
        </is>
      </c>
      <c r="B99" t="inlineStr">
        <is>
          <t>Divya Nair</t>
        </is>
      </c>
      <c r="C99" s="2" t="n">
        <v>46135.96581676278</v>
      </c>
      <c r="D99" t="inlineStr">
        <is>
          <t>09:00</t>
        </is>
      </c>
      <c r="E99" t="inlineStr">
        <is>
          <t>18:00</t>
        </is>
      </c>
      <c r="F99" s="5">
        <f>(TIME(VALUE(MID(E99,1,2)),VALUE(MID(E99,4,2)),0)-TIME(VALUE(MID(D99,1,2)),VALUE(MID(D99,4,2)),0))*24</f>
        <v/>
      </c>
      <c r="G99" s="7" t="inlineStr">
        <is>
          <t>Present</t>
        </is>
      </c>
      <c r="H99" s="5">
        <f>IF(F99&gt;8,F99-8,0)</f>
        <v/>
      </c>
      <c r="I99" t="inlineStr"/>
    </row>
    <row r="100">
      <c r="A100" t="inlineStr">
        <is>
          <t>EMP009</t>
        </is>
      </c>
      <c r="B100" t="inlineStr">
        <is>
          <t>Rahul Verma</t>
        </is>
      </c>
      <c r="C100" s="2" t="n">
        <v>46135.96581676278</v>
      </c>
      <c r="D100" t="inlineStr">
        <is>
          <t>09:45</t>
        </is>
      </c>
      <c r="E100" t="inlineStr">
        <is>
          <t>18:00</t>
        </is>
      </c>
      <c r="F100" s="5">
        <f>(TIME(VALUE(MID(E100,1,2)),VALUE(MID(E100,4,2)),0)-TIME(VALUE(MID(D100,1,2)),VALUE(MID(D100,4,2)),0))*24</f>
        <v/>
      </c>
      <c r="G100" s="8" t="inlineStr">
        <is>
          <t>Late</t>
        </is>
      </c>
      <c r="H100" s="5">
        <f>IF(F100&gt;8,F100-8,0)</f>
        <v/>
      </c>
      <c r="I100" t="inlineStr">
        <is>
          <t>Traffic delay</t>
        </is>
      </c>
    </row>
    <row r="101">
      <c r="A101" t="inlineStr">
        <is>
          <t>EMP010</t>
        </is>
      </c>
      <c r="B101" t="inlineStr">
        <is>
          <t>Sneha Desai</t>
        </is>
      </c>
      <c r="C101" s="2" t="n">
        <v>46135.96581676278</v>
      </c>
      <c r="D101" t="inlineStr">
        <is>
          <t>09:00</t>
        </is>
      </c>
      <c r="E101" t="inlineStr">
        <is>
          <t>18:00</t>
        </is>
      </c>
      <c r="F101" s="5">
        <f>(TIME(VALUE(MID(E101,1,2)),VALUE(MID(E101,4,2)),0)-TIME(VALUE(MID(D101,1,2)),VALUE(MID(D101,4,2)),0))*24</f>
        <v/>
      </c>
      <c r="G101" s="7" t="inlineStr">
        <is>
          <t>Present</t>
        </is>
      </c>
      <c r="H101" s="5">
        <f>IF(F101&gt;8,F101-8,0)</f>
        <v/>
      </c>
      <c r="I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2" customWidth="1" min="8" max="8"/>
    <col width="16" customWidth="1" min="9" max="9"/>
    <col width="18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Candidate Name</t>
        </is>
      </c>
      <c r="B1" s="1" t="inlineStr">
        <is>
          <t>Position</t>
        </is>
      </c>
      <c r="C1" s="1" t="inlineStr">
        <is>
          <t>Department</t>
        </is>
      </c>
      <c r="D1" s="1" t="inlineStr">
        <is>
          <t>Offer Date</t>
        </is>
      </c>
      <c r="E1" s="1" t="inlineStr">
        <is>
          <t>Joining Date</t>
        </is>
      </c>
      <c r="F1" s="1" t="inlineStr">
        <is>
          <t>Current Stage</t>
        </is>
      </c>
      <c r="G1" s="1" t="inlineStr">
        <is>
          <t>Document Verification</t>
        </is>
      </c>
      <c r="H1" s="1" t="inlineStr">
        <is>
          <t>IT Setup</t>
        </is>
      </c>
      <c r="I1" s="1" t="inlineStr">
        <is>
          <t>Training Assigned</t>
        </is>
      </c>
      <c r="J1" s="1" t="inlineStr">
        <is>
          <t>Manager Assignment</t>
        </is>
      </c>
      <c r="K1" s="1" t="inlineStr">
        <is>
          <t>Completion %</t>
        </is>
      </c>
      <c r="L1" s="1" t="inlineStr">
        <is>
          <t>Days to Complete</t>
        </is>
      </c>
      <c r="M1" s="1" t="inlineStr">
        <is>
          <t>Status</t>
        </is>
      </c>
    </row>
    <row r="2">
      <c r="A2" t="inlineStr">
        <is>
          <t>Amit Verma</t>
        </is>
      </c>
      <c r="B2" t="inlineStr">
        <is>
          <t>Software Engineer</t>
        </is>
      </c>
      <c r="C2" t="inlineStr">
        <is>
          <t>Engineering</t>
        </is>
      </c>
      <c r="D2" s="2" t="n">
        <v>45296</v>
      </c>
      <c r="E2" s="2" t="n">
        <v>45323</v>
      </c>
      <c r="F2" t="inlineStr">
        <is>
          <t>IT Setup</t>
        </is>
      </c>
      <c r="G2" s="7" t="inlineStr">
        <is>
          <t>Complete</t>
        </is>
      </c>
      <c r="H2" s="8" t="inlineStr">
        <is>
          <t>In Progress</t>
        </is>
      </c>
      <c r="I2" s="6" t="inlineStr">
        <is>
          <t>Pending</t>
        </is>
      </c>
      <c r="J2" s="7" t="inlineStr">
        <is>
          <t>Complete</t>
        </is>
      </c>
      <c r="K2" s="9">
        <f>COUNTIF(G2:J2,"Complete")/4</f>
        <v/>
      </c>
      <c r="L2" s="10">
        <f>E2-TODAY()</f>
        <v/>
      </c>
      <c r="M2" s="4" t="inlineStr">
        <is>
          <t>On Track</t>
        </is>
      </c>
    </row>
    <row r="3">
      <c r="A3" t="inlineStr">
        <is>
          <t>Ria Kapoor</t>
        </is>
      </c>
      <c r="B3" t="inlineStr">
        <is>
          <t>Sales Executive</t>
        </is>
      </c>
      <c r="C3" t="inlineStr">
        <is>
          <t>Sales</t>
        </is>
      </c>
      <c r="D3" s="2" t="n">
        <v>45301</v>
      </c>
      <c r="E3" s="2" t="n">
        <v>45327</v>
      </c>
      <c r="F3" t="inlineStr">
        <is>
          <t>Training</t>
        </is>
      </c>
      <c r="G3" s="7" t="inlineStr">
        <is>
          <t>Complete</t>
        </is>
      </c>
      <c r="H3" s="7" t="inlineStr">
        <is>
          <t>Complete</t>
        </is>
      </c>
      <c r="I3" s="8" t="inlineStr">
        <is>
          <t>In Progress</t>
        </is>
      </c>
      <c r="J3" s="7" t="inlineStr">
        <is>
          <t>Complete</t>
        </is>
      </c>
      <c r="K3" s="9">
        <f>COUNTIF(G3:J3,"Complete")/4</f>
        <v/>
      </c>
      <c r="L3" s="10">
        <f>E3-TODAY()</f>
        <v/>
      </c>
      <c r="M3" s="4" t="inlineStr">
        <is>
          <t>On Track</t>
        </is>
      </c>
    </row>
    <row r="4">
      <c r="A4" t="inlineStr">
        <is>
          <t>Naveen Kumar</t>
        </is>
      </c>
      <c r="B4" t="inlineStr">
        <is>
          <t>Marketing Manager</t>
        </is>
      </c>
      <c r="C4" t="inlineStr">
        <is>
          <t>Marketing</t>
        </is>
      </c>
      <c r="D4" s="2" t="n">
        <v>45299</v>
      </c>
      <c r="E4" s="2" t="n">
        <v>45325</v>
      </c>
      <c r="F4" t="inlineStr">
        <is>
          <t>Manager Assignment</t>
        </is>
      </c>
      <c r="G4" s="7" t="inlineStr">
        <is>
          <t>Complete</t>
        </is>
      </c>
      <c r="H4" s="7" t="inlineStr">
        <is>
          <t>Complete</t>
        </is>
      </c>
      <c r="I4" s="7" t="inlineStr">
        <is>
          <t>Complete</t>
        </is>
      </c>
      <c r="J4" s="8" t="inlineStr">
        <is>
          <t>In Progress</t>
        </is>
      </c>
      <c r="K4" s="9">
        <f>COUNTIF(G4:J4,"Complete")/4</f>
        <v/>
      </c>
      <c r="L4" s="10">
        <f>E4-TODAY()</f>
        <v/>
      </c>
      <c r="M4" s="4" t="inlineStr">
        <is>
          <t>On Track</t>
        </is>
      </c>
    </row>
    <row r="5">
      <c r="A5" t="inlineStr">
        <is>
          <t>Simran Gill</t>
        </is>
      </c>
      <c r="B5" t="inlineStr">
        <is>
          <t>HR Coordinator</t>
        </is>
      </c>
      <c r="C5" t="inlineStr">
        <is>
          <t>HR</t>
        </is>
      </c>
      <c r="D5" s="2" t="n">
        <v>45303</v>
      </c>
      <c r="E5" s="2" t="n">
        <v>45330</v>
      </c>
      <c r="F5" t="inlineStr">
        <is>
          <t>Document Verification</t>
        </is>
      </c>
      <c r="G5" s="8" t="inlineStr">
        <is>
          <t>In Progress</t>
        </is>
      </c>
      <c r="H5" s="6" t="inlineStr">
        <is>
          <t>Pending</t>
        </is>
      </c>
      <c r="I5" s="6" t="inlineStr">
        <is>
          <t>Pending</t>
        </is>
      </c>
      <c r="J5" s="6" t="inlineStr">
        <is>
          <t>Pending</t>
        </is>
      </c>
      <c r="K5" s="9">
        <f>COUNTIF(G5:J5,"Complete")/4</f>
        <v/>
      </c>
      <c r="L5" s="10">
        <f>E5-TODAY()</f>
        <v/>
      </c>
      <c r="M5" s="11" t="inlineStr">
        <is>
          <t>Delayed</t>
        </is>
      </c>
    </row>
    <row r="6">
      <c r="A6" t="inlineStr">
        <is>
          <t>Aditya Menon</t>
        </is>
      </c>
      <c r="B6" t="inlineStr">
        <is>
          <t>Financial Analyst</t>
        </is>
      </c>
      <c r="C6" t="inlineStr">
        <is>
          <t>Finance</t>
        </is>
      </c>
      <c r="D6" s="2" t="n">
        <v>45306</v>
      </c>
      <c r="E6" s="2" t="n">
        <v>45332</v>
      </c>
      <c r="F6" t="inlineStr">
        <is>
          <t>Offer Accepted</t>
        </is>
      </c>
      <c r="G6" s="6" t="inlineStr">
        <is>
          <t>Pending</t>
        </is>
      </c>
      <c r="H6" s="6" t="inlineStr">
        <is>
          <t>Pending</t>
        </is>
      </c>
      <c r="I6" s="6" t="inlineStr">
        <is>
          <t>Pending</t>
        </is>
      </c>
      <c r="J6" s="6" t="inlineStr">
        <is>
          <t>Pending</t>
        </is>
      </c>
      <c r="K6" s="9">
        <f>COUNTIF(G6:J6,"Complete")/4</f>
        <v/>
      </c>
      <c r="L6" s="10">
        <f>E6-TODAY()</f>
        <v/>
      </c>
      <c r="M6" s="4" t="inlineStr">
        <is>
          <t>On Track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4" customWidth="1" min="5" max="5"/>
    <col width="8" customWidth="1" min="6" max="6"/>
    <col width="25" customWidth="1" min="7" max="7"/>
    <col width="12" customWidth="1" min="8" max="8"/>
    <col width="16" customWidth="1" min="9" max="9"/>
    <col width="16" customWidth="1" min="10" max="10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Leave Type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Days</t>
        </is>
      </c>
      <c r="G1" s="1" t="inlineStr">
        <is>
          <t>Reason</t>
        </is>
      </c>
      <c r="H1" s="1" t="inlineStr">
        <is>
          <t>Status</t>
        </is>
      </c>
      <c r="I1" s="1" t="inlineStr">
        <is>
          <t>Approved By</t>
        </is>
      </c>
      <c r="J1" s="1" t="inlineStr">
        <is>
          <t>Date Submitted</t>
        </is>
      </c>
    </row>
    <row r="2">
      <c r="A2" t="inlineStr">
        <is>
          <t>EMP001</t>
        </is>
      </c>
      <c r="B2" t="inlineStr">
        <is>
          <t>Rajesh Kumar</t>
        </is>
      </c>
      <c r="C2" t="inlineStr">
        <is>
          <t>Annual Leave</t>
        </is>
      </c>
      <c r="D2" s="2" t="n">
        <v>45337</v>
      </c>
      <c r="E2" s="2" t="n">
        <v>45342</v>
      </c>
      <c r="F2" s="10">
        <f>E2-D2+1</f>
        <v/>
      </c>
      <c r="G2" t="inlineStr">
        <is>
          <t>Family vacation</t>
        </is>
      </c>
      <c r="H2" s="4" t="inlineStr">
        <is>
          <t>Approved</t>
        </is>
      </c>
      <c r="I2" t="inlineStr">
        <is>
          <t>Amit Sharma</t>
        </is>
      </c>
      <c r="J2" s="2" t="n">
        <v>45323</v>
      </c>
    </row>
    <row r="3">
      <c r="A3" t="inlineStr">
        <is>
          <t>EMP006</t>
        </is>
      </c>
      <c r="B3" t="inlineStr">
        <is>
          <t>Ananya Iyer</t>
        </is>
      </c>
      <c r="C3" t="inlineStr">
        <is>
          <t>Sick Leave</t>
        </is>
      </c>
      <c r="D3" s="2" t="n">
        <v>45330</v>
      </c>
      <c r="E3" s="2" t="n">
        <v>45331</v>
      </c>
      <c r="F3" s="10">
        <f>E3-D3+1</f>
        <v/>
      </c>
      <c r="G3" t="inlineStr">
        <is>
          <t>Flu</t>
        </is>
      </c>
      <c r="H3" s="4" t="inlineStr">
        <is>
          <t>Approved</t>
        </is>
      </c>
      <c r="I3" t="inlineStr">
        <is>
          <t>Rajesh Kumar</t>
        </is>
      </c>
      <c r="J3" s="2" t="n">
        <v>45329</v>
      </c>
    </row>
    <row r="4">
      <c r="A4" t="inlineStr">
        <is>
          <t>EMP007</t>
        </is>
      </c>
      <c r="B4" t="inlineStr">
        <is>
          <t>Karthik Menon</t>
        </is>
      </c>
      <c r="C4" t="inlineStr">
        <is>
          <t>Casual Leave</t>
        </is>
      </c>
      <c r="D4" s="2" t="n">
        <v>45344</v>
      </c>
      <c r="E4" s="2" t="n">
        <v>45344</v>
      </c>
      <c r="F4" s="10">
        <f>E4-D4+1</f>
        <v/>
      </c>
      <c r="G4" t="inlineStr">
        <is>
          <t>Personal work</t>
        </is>
      </c>
      <c r="H4" s="12" t="inlineStr">
        <is>
          <t>Pending</t>
        </is>
      </c>
      <c r="I4" t="inlineStr"/>
      <c r="J4" s="2" t="n">
        <v>45342</v>
      </c>
    </row>
    <row r="5">
      <c r="A5" t="inlineStr">
        <is>
          <t>EMP003</t>
        </is>
      </c>
      <c r="B5" t="inlineStr">
        <is>
          <t>Amit Patel</t>
        </is>
      </c>
      <c r="C5" t="inlineStr">
        <is>
          <t>Annual Leave</t>
        </is>
      </c>
      <c r="D5" s="2" t="n">
        <v>45361</v>
      </c>
      <c r="E5" s="2" t="n">
        <v>45366</v>
      </c>
      <c r="F5" s="10">
        <f>E5-D5+1</f>
        <v/>
      </c>
      <c r="G5" t="inlineStr">
        <is>
          <t>Wedding anniversary</t>
        </is>
      </c>
      <c r="H5" s="4" t="inlineStr">
        <is>
          <t>Approved</t>
        </is>
      </c>
      <c r="I5" t="inlineStr">
        <is>
          <t>Neha Gupta</t>
        </is>
      </c>
      <c r="J5" s="2" t="n">
        <v>45347</v>
      </c>
    </row>
    <row r="6">
      <c r="A6" t="inlineStr">
        <is>
          <t>EMP010</t>
        </is>
      </c>
      <c r="B6" t="inlineStr">
        <is>
          <t>Sneha Desai</t>
        </is>
      </c>
      <c r="C6" t="inlineStr">
        <is>
          <t>Comp Off</t>
        </is>
      </c>
      <c r="D6" s="2" t="n">
        <v>45350</v>
      </c>
      <c r="E6" s="2" t="n">
        <v>45350</v>
      </c>
      <c r="F6" s="10">
        <f>E6-D6+1</f>
        <v/>
      </c>
      <c r="G6" t="inlineStr">
        <is>
          <t>Weekend work compensation</t>
        </is>
      </c>
      <c r="H6" s="4" t="inlineStr">
        <is>
          <t>Approved</t>
        </is>
      </c>
      <c r="I6" t="inlineStr">
        <is>
          <t>Neha Singh</t>
        </is>
      </c>
      <c r="J6" s="2" t="n">
        <v>45348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3" customWidth="1" min="4" max="4"/>
    <col width="25" customWidth="1" min="5" max="5"/>
    <col width="12" customWidth="1" min="6" max="6"/>
  </cols>
  <sheetData>
    <row r="1" ht="30" customHeight="1">
      <c r="A1" s="13" t="inlineStr">
        <is>
          <t>HR ANALYTICS DASHBOARD</t>
        </is>
      </c>
    </row>
    <row r="2">
      <c r="A2" t="inlineStr">
        <is>
          <t>Report Date:</t>
        </is>
      </c>
      <c r="B2" s="14">
        <f>TODAY()</f>
        <v/>
      </c>
    </row>
    <row r="4">
      <c r="A4" s="15" t="inlineStr">
        <is>
          <t>KEY METRICS</t>
        </is>
      </c>
    </row>
    <row r="5">
      <c r="A5" s="16" t="inlineStr">
        <is>
          <t>Total Employees</t>
        </is>
      </c>
      <c r="B5" s="17">
        <f>COUNTA('Employee Master'!A2:A16)</f>
        <v/>
      </c>
    </row>
    <row r="6">
      <c r="A6" s="16" t="inlineStr">
        <is>
          <t>Active Employees</t>
        </is>
      </c>
      <c r="B6" s="17">
        <f>COUNTIF('Employee Master'!N2:N16,"Active")</f>
        <v/>
      </c>
    </row>
    <row r="7">
      <c r="A7" s="16" t="inlineStr">
        <is>
          <t>Departments</t>
        </is>
      </c>
      <c r="B7" s="17">
        <f>COUNTA(UNIQUE('Employee Master'!E2:E16))</f>
        <v/>
      </c>
    </row>
    <row r="8">
      <c r="A8" s="16" t="inlineStr">
        <is>
          <t>Average Tenure (Years)</t>
        </is>
      </c>
      <c r="B8" s="18">
        <f>(TODAY()-AVERAGE('Employee Master'!H2:H16))/365</f>
        <v/>
      </c>
    </row>
    <row r="9">
      <c r="A9" s="16" t="inlineStr">
        <is>
          <t>Pending Onboarding</t>
        </is>
      </c>
      <c r="B9" s="17">
        <f>COUNTIF('Onboarding Pipeline'!M2:M6,"On Track")</f>
        <v/>
      </c>
    </row>
    <row r="10">
      <c r="A10" s="16" t="inlineStr">
        <is>
          <t>Pending Leave Requests</t>
        </is>
      </c>
      <c r="B10" s="17">
        <f>COUNTIF('Leave Management'!H2:H6,"Pending")</f>
        <v/>
      </c>
    </row>
    <row r="12">
      <c r="A12" s="15" t="inlineStr">
        <is>
          <t>DEPARTMENT BREAKDOWN</t>
        </is>
      </c>
    </row>
    <row r="13">
      <c r="A13" s="19" t="inlineStr">
        <is>
          <t>Department</t>
        </is>
      </c>
      <c r="B13" s="19" t="inlineStr">
        <is>
          <t>Employee Count</t>
        </is>
      </c>
      <c r="C13" s="19" t="inlineStr">
        <is>
          <t>Avg Salary</t>
        </is>
      </c>
      <c r="E13" s="15" t="inlineStr">
        <is>
          <t>ATTENDANCE SUMMARY (Last 10 Days)</t>
        </is>
      </c>
    </row>
    <row r="14">
      <c r="A14" t="inlineStr">
        <is>
          <t>Engineering</t>
        </is>
      </c>
      <c r="B14">
        <f>COUNTIF('Employee Master'!E:E,A14)</f>
        <v/>
      </c>
      <c r="C14" s="20">
        <f>AVERAGEIF('Employee Master'!E:E,A14,'Employee Master'!K:K)</f>
        <v/>
      </c>
      <c r="E14" s="19" t="inlineStr">
        <is>
          <t>Status</t>
        </is>
      </c>
      <c r="F14" s="19" t="inlineStr">
        <is>
          <t>Count</t>
        </is>
      </c>
    </row>
    <row r="15">
      <c r="A15" t="inlineStr">
        <is>
          <t>Sales</t>
        </is>
      </c>
      <c r="B15">
        <f>COUNTIF('Employee Master'!E:E,A15)</f>
        <v/>
      </c>
      <c r="C15" s="20">
        <f>AVERAGEIF('Employee Master'!E:E,A15,'Employee Master'!K:K)</f>
        <v/>
      </c>
      <c r="E15" t="inlineStr">
        <is>
          <t>Present</t>
        </is>
      </c>
      <c r="F15">
        <f>COUNTIF('Attendance Tracker'!G:G,E15)</f>
        <v/>
      </c>
    </row>
    <row r="16">
      <c r="A16" t="inlineStr">
        <is>
          <t>Marketing</t>
        </is>
      </c>
      <c r="B16">
        <f>COUNTIF('Employee Master'!E:E,A16)</f>
        <v/>
      </c>
      <c r="C16" s="20">
        <f>AVERAGEIF('Employee Master'!E:E,A16,'Employee Master'!K:K)</f>
        <v/>
      </c>
      <c r="E16" t="inlineStr">
        <is>
          <t>Late</t>
        </is>
      </c>
      <c r="F16">
        <f>COUNTIF('Attendance Tracker'!G:G,E16)</f>
        <v/>
      </c>
    </row>
    <row r="17">
      <c r="A17" t="inlineStr">
        <is>
          <t>HR</t>
        </is>
      </c>
      <c r="B17">
        <f>COUNTIF('Employee Master'!E:E,A17)</f>
        <v/>
      </c>
      <c r="C17" s="20">
        <f>AVERAGEIF('Employee Master'!E:E,A17,'Employee Master'!K:K)</f>
        <v/>
      </c>
      <c r="E17" t="inlineStr">
        <is>
          <t>Absent</t>
        </is>
      </c>
      <c r="F17">
        <f>COUNTIF('Attendance Tracker'!G:G,E17)</f>
        <v/>
      </c>
    </row>
    <row r="18">
      <c r="A18" t="inlineStr">
        <is>
          <t>Finance</t>
        </is>
      </c>
      <c r="B18">
        <f>COUNTIF('Employee Master'!E:E,A18)</f>
        <v/>
      </c>
      <c r="C18" s="20">
        <f>AVERAGEIF('Employee Master'!E:E,A18,'Employee Master'!K:K)</f>
        <v/>
      </c>
      <c r="E18" t="inlineStr">
        <is>
          <t>Half Day</t>
        </is>
      </c>
      <c r="F18">
        <f>COUNTIF('Attendance Tracker'!G:G,E18)</f>
        <v/>
      </c>
    </row>
    <row r="19">
      <c r="A19" t="inlineStr">
        <is>
          <t>Operations</t>
        </is>
      </c>
      <c r="B19">
        <f>COUNTIF('Employee Master'!E:E,A19)</f>
        <v/>
      </c>
      <c r="C19" s="20">
        <f>AVERAGEIF('Employee Master'!E:E,A19,'Employee Master'!K:K)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6" customWidth="1" min="11" max="11"/>
  </cols>
  <sheetData>
    <row r="1">
      <c r="A1" s="21" t="inlineStr">
        <is>
          <t>Employee ID</t>
        </is>
      </c>
      <c r="B1" s="21" t="inlineStr">
        <is>
          <t>Employee Name</t>
        </is>
      </c>
      <c r="C1" s="21" t="inlineStr">
        <is>
          <t>Annual Leave Total</t>
        </is>
      </c>
      <c r="D1" s="21" t="inlineStr">
        <is>
          <t>Annual Leave Used</t>
        </is>
      </c>
      <c r="E1" s="21" t="inlineStr">
        <is>
          <t>Annual Leave Balance</t>
        </is>
      </c>
      <c r="F1" s="21" t="inlineStr">
        <is>
          <t>Sick Leave Total</t>
        </is>
      </c>
      <c r="G1" s="21" t="inlineStr">
        <is>
          <t>Sick Leave Used</t>
        </is>
      </c>
      <c r="H1" s="21" t="inlineStr">
        <is>
          <t>Sick Leave Balance</t>
        </is>
      </c>
      <c r="I1" s="21" t="inlineStr">
        <is>
          <t>Casual Leave Total</t>
        </is>
      </c>
      <c r="J1" s="21" t="inlineStr">
        <is>
          <t>Casual Leave Used</t>
        </is>
      </c>
      <c r="K1" s="21" t="inlineStr">
        <is>
          <t>Casual Leave Balance</t>
        </is>
      </c>
    </row>
    <row r="2">
      <c r="A2" t="inlineStr">
        <is>
          <t>EMP001</t>
        </is>
      </c>
      <c r="B2" t="inlineStr">
        <is>
          <t>Rajesh Kumar</t>
        </is>
      </c>
      <c r="C2" s="22" t="n">
        <v>20</v>
      </c>
      <c r="D2" s="22">
        <f>SUMIFS('Leave Management'!F:F,'Leave Management'!A:A,A2,'Leave Management'!C:C,"Annual Leave",'Leave Management'!H:H,"Approved")</f>
        <v/>
      </c>
      <c r="E2" s="23">
        <f>C2-D2</f>
        <v/>
      </c>
      <c r="F2" s="22" t="n">
        <v>12</v>
      </c>
      <c r="G2" s="22">
        <f>SUMIFS('Leave Management'!F:F,'Leave Management'!A:A,A2,'Leave Management'!C:C,"Sick Leave",'Leave Management'!H:H,"Approved")</f>
        <v/>
      </c>
      <c r="H2" s="23">
        <f>F2-G2</f>
        <v/>
      </c>
      <c r="I2" s="22" t="n">
        <v>10</v>
      </c>
      <c r="J2" s="22">
        <f>SUMIFS('Leave Management'!F:F,'Leave Management'!A:A,A2,'Leave Management'!C:C,"Casual Leave",'Leave Management'!H:H,"Approved")</f>
        <v/>
      </c>
      <c r="K2" s="23">
        <f>I2-J2</f>
        <v/>
      </c>
    </row>
    <row r="3">
      <c r="A3" t="inlineStr">
        <is>
          <t>EMP002</t>
        </is>
      </c>
      <c r="B3" t="inlineStr">
        <is>
          <t>Priya Sharma</t>
        </is>
      </c>
      <c r="C3" s="22" t="n">
        <v>20</v>
      </c>
      <c r="D3" s="22">
        <f>SUMIFS('Leave Management'!F:F,'Leave Management'!A:A,A3,'Leave Management'!C:C,"Annual Leave",'Leave Management'!H:H,"Approved")</f>
        <v/>
      </c>
      <c r="E3" s="23">
        <f>C3-D3</f>
        <v/>
      </c>
      <c r="F3" s="22" t="n">
        <v>12</v>
      </c>
      <c r="G3" s="22">
        <f>SUMIFS('Leave Management'!F:F,'Leave Management'!A:A,A3,'Leave Management'!C:C,"Sick Leave",'Leave Management'!H:H,"Approved")</f>
        <v/>
      </c>
      <c r="H3" s="23">
        <f>F3-G3</f>
        <v/>
      </c>
      <c r="I3" s="22" t="n">
        <v>10</v>
      </c>
      <c r="J3" s="22">
        <f>SUMIFS('Leave Management'!F:F,'Leave Management'!A:A,A3,'Leave Management'!C:C,"Casual Leave",'Leave Management'!H:H,"Approved")</f>
        <v/>
      </c>
      <c r="K3" s="23">
        <f>I3-J3</f>
        <v/>
      </c>
    </row>
    <row r="4">
      <c r="A4" t="inlineStr">
        <is>
          <t>EMP003</t>
        </is>
      </c>
      <c r="B4" t="inlineStr">
        <is>
          <t>Amit Patel</t>
        </is>
      </c>
      <c r="C4" s="22" t="n">
        <v>20</v>
      </c>
      <c r="D4" s="22">
        <f>SUMIFS('Leave Management'!F:F,'Leave Management'!A:A,A4,'Leave Management'!C:C,"Annual Leave",'Leave Management'!H:H,"Approved")</f>
        <v/>
      </c>
      <c r="E4" s="23">
        <f>C4-D4</f>
        <v/>
      </c>
      <c r="F4" s="22" t="n">
        <v>12</v>
      </c>
      <c r="G4" s="22">
        <f>SUMIFS('Leave Management'!F:F,'Leave Management'!A:A,A4,'Leave Management'!C:C,"Sick Leave",'Leave Management'!H:H,"Approved")</f>
        <v/>
      </c>
      <c r="H4" s="23">
        <f>F4-G4</f>
        <v/>
      </c>
      <c r="I4" s="22" t="n">
        <v>10</v>
      </c>
      <c r="J4" s="22">
        <f>SUMIFS('Leave Management'!F:F,'Leave Management'!A:A,A4,'Leave Management'!C:C,"Casual Leave",'Leave Management'!H:H,"Approved")</f>
        <v/>
      </c>
      <c r="K4" s="23">
        <f>I4-J4</f>
        <v/>
      </c>
    </row>
    <row r="5">
      <c r="A5" t="inlineStr">
        <is>
          <t>EMP004</t>
        </is>
      </c>
      <c r="B5" t="inlineStr">
        <is>
          <t>Neha Singh</t>
        </is>
      </c>
      <c r="C5" s="22" t="n">
        <v>20</v>
      </c>
      <c r="D5" s="22">
        <f>SUMIFS('Leave Management'!F:F,'Leave Management'!A:A,A5,'Leave Management'!C:C,"Annual Leave",'Leave Management'!H:H,"Approved")</f>
        <v/>
      </c>
      <c r="E5" s="23">
        <f>C5-D5</f>
        <v/>
      </c>
      <c r="F5" s="22" t="n">
        <v>12</v>
      </c>
      <c r="G5" s="22">
        <f>SUMIFS('Leave Management'!F:F,'Leave Management'!A:A,A5,'Leave Management'!C:C,"Sick Leave",'Leave Management'!H:H,"Approved")</f>
        <v/>
      </c>
      <c r="H5" s="23">
        <f>F5-G5</f>
        <v/>
      </c>
      <c r="I5" s="22" t="n">
        <v>10</v>
      </c>
      <c r="J5" s="22">
        <f>SUMIFS('Leave Management'!F:F,'Leave Management'!A:A,A5,'Leave Management'!C:C,"Casual Leave",'Leave Management'!H:H,"Approved")</f>
        <v/>
      </c>
      <c r="K5" s="23">
        <f>I5-J5</f>
        <v/>
      </c>
    </row>
    <row r="6">
      <c r="A6" t="inlineStr">
        <is>
          <t>EMP005</t>
        </is>
      </c>
      <c r="B6" t="inlineStr">
        <is>
          <t>Vikram Reddy</t>
        </is>
      </c>
      <c r="C6" s="22" t="n">
        <v>20</v>
      </c>
      <c r="D6" s="22">
        <f>SUMIFS('Leave Management'!F:F,'Leave Management'!A:A,A6,'Leave Management'!C:C,"Annual Leave",'Leave Management'!H:H,"Approved")</f>
        <v/>
      </c>
      <c r="E6" s="23">
        <f>C6-D6</f>
        <v/>
      </c>
      <c r="F6" s="22" t="n">
        <v>12</v>
      </c>
      <c r="G6" s="22">
        <f>SUMIFS('Leave Management'!F:F,'Leave Management'!A:A,A6,'Leave Management'!C:C,"Sick Leave",'Leave Management'!H:H,"Approved")</f>
        <v/>
      </c>
      <c r="H6" s="23">
        <f>F6-G6</f>
        <v/>
      </c>
      <c r="I6" s="22" t="n">
        <v>10</v>
      </c>
      <c r="J6" s="22">
        <f>SUMIFS('Leave Management'!F:F,'Leave Management'!A:A,A6,'Leave Management'!C:C,"Casual Leave",'Leave Management'!H:H,"Approved")</f>
        <v/>
      </c>
      <c r="K6" s="23">
        <f>I6-J6</f>
        <v/>
      </c>
    </row>
    <row r="7">
      <c r="A7" t="inlineStr">
        <is>
          <t>EMP006</t>
        </is>
      </c>
      <c r="B7" t="inlineStr">
        <is>
          <t>Ananya Iyer</t>
        </is>
      </c>
      <c r="C7" s="22" t="n">
        <v>20</v>
      </c>
      <c r="D7" s="22">
        <f>SUMIFS('Leave Management'!F:F,'Leave Management'!A:A,A7,'Leave Management'!C:C,"Annual Leave",'Leave Management'!H:H,"Approved")</f>
        <v/>
      </c>
      <c r="E7" s="23">
        <f>C7-D7</f>
        <v/>
      </c>
      <c r="F7" s="22" t="n">
        <v>12</v>
      </c>
      <c r="G7" s="22">
        <f>SUMIFS('Leave Management'!F:F,'Leave Management'!A:A,A7,'Leave Management'!C:C,"Sick Leave",'Leave Management'!H:H,"Approved")</f>
        <v/>
      </c>
      <c r="H7" s="23">
        <f>F7-G7</f>
        <v/>
      </c>
      <c r="I7" s="22" t="n">
        <v>10</v>
      </c>
      <c r="J7" s="22">
        <f>SUMIFS('Leave Management'!F:F,'Leave Management'!A:A,A7,'Leave Management'!C:C,"Casual Leave",'Leave Management'!H:H,"Approved")</f>
        <v/>
      </c>
      <c r="K7" s="23">
        <f>I7-J7</f>
        <v/>
      </c>
    </row>
    <row r="8">
      <c r="A8" t="inlineStr">
        <is>
          <t>EMP007</t>
        </is>
      </c>
      <c r="B8" t="inlineStr">
        <is>
          <t>Karthik Menon</t>
        </is>
      </c>
      <c r="C8" s="22" t="n">
        <v>20</v>
      </c>
      <c r="D8" s="22">
        <f>SUMIFS('Leave Management'!F:F,'Leave Management'!A:A,A8,'Leave Management'!C:C,"Annual Leave",'Leave Management'!H:H,"Approved")</f>
        <v/>
      </c>
      <c r="E8" s="23">
        <f>C8-D8</f>
        <v/>
      </c>
      <c r="F8" s="22" t="n">
        <v>12</v>
      </c>
      <c r="G8" s="22">
        <f>SUMIFS('Leave Management'!F:F,'Leave Management'!A:A,A8,'Leave Management'!C:C,"Sick Leave",'Leave Management'!H:H,"Approved")</f>
        <v/>
      </c>
      <c r="H8" s="23">
        <f>F8-G8</f>
        <v/>
      </c>
      <c r="I8" s="22" t="n">
        <v>10</v>
      </c>
      <c r="J8" s="22">
        <f>SUMIFS('Leave Management'!F:F,'Leave Management'!A:A,A8,'Leave Management'!C:C,"Casual Leave",'Leave Management'!H:H,"Approved")</f>
        <v/>
      </c>
      <c r="K8" s="23">
        <f>I8-J8</f>
        <v/>
      </c>
    </row>
    <row r="9">
      <c r="A9" t="inlineStr">
        <is>
          <t>EMP008</t>
        </is>
      </c>
      <c r="B9" t="inlineStr">
        <is>
          <t>Divya Nair</t>
        </is>
      </c>
      <c r="C9" s="22" t="n">
        <v>20</v>
      </c>
      <c r="D9" s="22">
        <f>SUMIFS('Leave Management'!F:F,'Leave Management'!A:A,A9,'Leave Management'!C:C,"Annual Leave",'Leave Management'!H:H,"Approved")</f>
        <v/>
      </c>
      <c r="E9" s="23">
        <f>C9-D9</f>
        <v/>
      </c>
      <c r="F9" s="22" t="n">
        <v>12</v>
      </c>
      <c r="G9" s="22">
        <f>SUMIFS('Leave Management'!F:F,'Leave Management'!A:A,A9,'Leave Management'!C:C,"Sick Leave",'Leave Management'!H:H,"Approved")</f>
        <v/>
      </c>
      <c r="H9" s="23">
        <f>F9-G9</f>
        <v/>
      </c>
      <c r="I9" s="22" t="n">
        <v>10</v>
      </c>
      <c r="J9" s="22">
        <f>SUMIFS('Leave Management'!F:F,'Leave Management'!A:A,A9,'Leave Management'!C:C,"Casual Leave",'Leave Management'!H:H,"Approved")</f>
        <v/>
      </c>
      <c r="K9" s="23">
        <f>I9-J9</f>
        <v/>
      </c>
    </row>
    <row r="10">
      <c r="A10" t="inlineStr">
        <is>
          <t>EMP009</t>
        </is>
      </c>
      <c r="B10" t="inlineStr">
        <is>
          <t>Rahul Verma</t>
        </is>
      </c>
      <c r="C10" s="22" t="n">
        <v>20</v>
      </c>
      <c r="D10" s="22">
        <f>SUMIFS('Leave Management'!F:F,'Leave Management'!A:A,A10,'Leave Management'!C:C,"Annual Leave",'Leave Management'!H:H,"Approved")</f>
        <v/>
      </c>
      <c r="E10" s="23">
        <f>C10-D10</f>
        <v/>
      </c>
      <c r="F10" s="22" t="n">
        <v>12</v>
      </c>
      <c r="G10" s="22">
        <f>SUMIFS('Leave Management'!F:F,'Leave Management'!A:A,A10,'Leave Management'!C:C,"Sick Leave",'Leave Management'!H:H,"Approved")</f>
        <v/>
      </c>
      <c r="H10" s="23">
        <f>F10-G10</f>
        <v/>
      </c>
      <c r="I10" s="22" t="n">
        <v>10</v>
      </c>
      <c r="J10" s="22">
        <f>SUMIFS('Leave Management'!F:F,'Leave Management'!A:A,A10,'Leave Management'!C:C,"Casual Leave",'Leave Management'!H:H,"Approved")</f>
        <v/>
      </c>
      <c r="K10" s="23">
        <f>I10-J10</f>
        <v/>
      </c>
    </row>
    <row r="11">
      <c r="A11" t="inlineStr">
        <is>
          <t>EMP010</t>
        </is>
      </c>
      <c r="B11" t="inlineStr">
        <is>
          <t>Sneha Desai</t>
        </is>
      </c>
      <c r="C11" s="22" t="n">
        <v>20</v>
      </c>
      <c r="D11" s="22">
        <f>SUMIFS('Leave Management'!F:F,'Leave Management'!A:A,A11,'Leave Management'!C:C,"Annual Leave",'Leave Management'!H:H,"Approved")</f>
        <v/>
      </c>
      <c r="E11" s="23">
        <f>C11-D11</f>
        <v/>
      </c>
      <c r="F11" s="22" t="n">
        <v>12</v>
      </c>
      <c r="G11" s="22">
        <f>SUMIFS('Leave Management'!F:F,'Leave Management'!A:A,A11,'Leave Management'!C:C,"Sick Leave",'Leave Management'!H:H,"Approved")</f>
        <v/>
      </c>
      <c r="H11" s="23">
        <f>F11-G11</f>
        <v/>
      </c>
      <c r="I11" s="22" t="n">
        <v>10</v>
      </c>
      <c r="J11" s="22">
        <f>SUMIFS('Leave Management'!F:F,'Leave Management'!A:A,A11,'Leave Management'!C:C,"Casual Leave",'Leave Management'!H:H,"Approved")</f>
        <v/>
      </c>
      <c r="K11" s="23">
        <f>I11-J11</f>
        <v/>
      </c>
    </row>
    <row r="12">
      <c r="A12" t="inlineStr">
        <is>
          <t>EMP011</t>
        </is>
      </c>
      <c r="B12" t="inlineStr">
        <is>
          <t>Arjun Kapoor</t>
        </is>
      </c>
      <c r="C12" s="22" t="n">
        <v>20</v>
      </c>
      <c r="D12" s="22">
        <f>SUMIFS('Leave Management'!F:F,'Leave Management'!A:A,A12,'Leave Management'!C:C,"Annual Leave",'Leave Management'!H:H,"Approved")</f>
        <v/>
      </c>
      <c r="E12" s="23">
        <f>C12-D12</f>
        <v/>
      </c>
      <c r="F12" s="22" t="n">
        <v>12</v>
      </c>
      <c r="G12" s="22">
        <f>SUMIFS('Leave Management'!F:F,'Leave Management'!A:A,A12,'Leave Management'!C:C,"Sick Leave",'Leave Management'!H:H,"Approved")</f>
        <v/>
      </c>
      <c r="H12" s="23">
        <f>F12-G12</f>
        <v/>
      </c>
      <c r="I12" s="22" t="n">
        <v>10</v>
      </c>
      <c r="J12" s="22">
        <f>SUMIFS('Leave Management'!F:F,'Leave Management'!A:A,A12,'Leave Management'!C:C,"Casual Leave",'Leave Management'!H:H,"Approved")</f>
        <v/>
      </c>
      <c r="K12" s="23">
        <f>I12-J12</f>
        <v/>
      </c>
    </row>
    <row r="13">
      <c r="A13" t="inlineStr">
        <is>
          <t>EMP012</t>
        </is>
      </c>
      <c r="B13" t="inlineStr">
        <is>
          <t>Pooja Agarwal</t>
        </is>
      </c>
      <c r="C13" s="22" t="n">
        <v>20</v>
      </c>
      <c r="D13" s="22">
        <f>SUMIFS('Leave Management'!F:F,'Leave Management'!A:A,A13,'Leave Management'!C:C,"Annual Leave",'Leave Management'!H:H,"Approved")</f>
        <v/>
      </c>
      <c r="E13" s="23">
        <f>C13-D13</f>
        <v/>
      </c>
      <c r="F13" s="22" t="n">
        <v>12</v>
      </c>
      <c r="G13" s="22">
        <f>SUMIFS('Leave Management'!F:F,'Leave Management'!A:A,A13,'Leave Management'!C:C,"Sick Leave",'Leave Management'!H:H,"Approved")</f>
        <v/>
      </c>
      <c r="H13" s="23">
        <f>F13-G13</f>
        <v/>
      </c>
      <c r="I13" s="22" t="n">
        <v>10</v>
      </c>
      <c r="J13" s="22">
        <f>SUMIFS('Leave Management'!F:F,'Leave Management'!A:A,A13,'Leave Management'!C:C,"Casual Leave",'Leave Management'!H:H,"Approved")</f>
        <v/>
      </c>
      <c r="K13" s="23">
        <f>I13-J13</f>
        <v/>
      </c>
    </row>
    <row r="14">
      <c r="A14" t="inlineStr">
        <is>
          <t>EMP013</t>
        </is>
      </c>
      <c r="B14" t="inlineStr">
        <is>
          <t>Rohan Joshi</t>
        </is>
      </c>
      <c r="C14" s="22" t="n">
        <v>20</v>
      </c>
      <c r="D14" s="22">
        <f>SUMIFS('Leave Management'!F:F,'Leave Management'!A:A,A14,'Leave Management'!C:C,"Annual Leave",'Leave Management'!H:H,"Approved")</f>
        <v/>
      </c>
      <c r="E14" s="23">
        <f>C14-D14</f>
        <v/>
      </c>
      <c r="F14" s="22" t="n">
        <v>12</v>
      </c>
      <c r="G14" s="22">
        <f>SUMIFS('Leave Management'!F:F,'Leave Management'!A:A,A14,'Leave Management'!C:C,"Sick Leave",'Leave Management'!H:H,"Approved")</f>
        <v/>
      </c>
      <c r="H14" s="23">
        <f>F14-G14</f>
        <v/>
      </c>
      <c r="I14" s="22" t="n">
        <v>10</v>
      </c>
      <c r="J14" s="22">
        <f>SUMIFS('Leave Management'!F:F,'Leave Management'!A:A,A14,'Leave Management'!C:C,"Casual Leave",'Leave Management'!H:H,"Approved")</f>
        <v/>
      </c>
      <c r="K14" s="23">
        <f>I14-J14</f>
        <v/>
      </c>
    </row>
    <row r="15">
      <c r="A15" t="inlineStr">
        <is>
          <t>EMP014</t>
        </is>
      </c>
      <c r="B15" t="inlineStr">
        <is>
          <t>Kavya Pillai</t>
        </is>
      </c>
      <c r="C15" s="22" t="n">
        <v>20</v>
      </c>
      <c r="D15" s="22">
        <f>SUMIFS('Leave Management'!F:F,'Leave Management'!A:A,A15,'Leave Management'!C:C,"Annual Leave",'Leave Management'!H:H,"Approved")</f>
        <v/>
      </c>
      <c r="E15" s="23">
        <f>C15-D15</f>
        <v/>
      </c>
      <c r="F15" s="22" t="n">
        <v>12</v>
      </c>
      <c r="G15" s="22">
        <f>SUMIFS('Leave Management'!F:F,'Leave Management'!A:A,A15,'Leave Management'!C:C,"Sick Leave",'Leave Management'!H:H,"Approved")</f>
        <v/>
      </c>
      <c r="H15" s="23">
        <f>F15-G15</f>
        <v/>
      </c>
      <c r="I15" s="22" t="n">
        <v>10</v>
      </c>
      <c r="J15" s="22">
        <f>SUMIFS('Leave Management'!F:F,'Leave Management'!A:A,A15,'Leave Management'!C:C,"Casual Leave",'Leave Management'!H:H,"Approved")</f>
        <v/>
      </c>
      <c r="K15" s="23">
        <f>I15-J15</f>
        <v/>
      </c>
    </row>
    <row r="16">
      <c r="A16" t="inlineStr">
        <is>
          <t>EMP015</t>
        </is>
      </c>
      <c r="B16" t="inlineStr">
        <is>
          <t>Siddharth Roy</t>
        </is>
      </c>
      <c r="C16" s="22" t="n">
        <v>20</v>
      </c>
      <c r="D16" s="22">
        <f>SUMIFS('Leave Management'!F:F,'Leave Management'!A:A,A16,'Leave Management'!C:C,"Annual Leave",'Leave Management'!H:H,"Approved")</f>
        <v/>
      </c>
      <c r="E16" s="23">
        <f>C16-D16</f>
        <v/>
      </c>
      <c r="F16" s="22" t="n">
        <v>12</v>
      </c>
      <c r="G16" s="22">
        <f>SUMIFS('Leave Management'!F:F,'Leave Management'!A:A,A16,'Leave Management'!C:C,"Sick Leave",'Leave Management'!H:H,"Approved")</f>
        <v/>
      </c>
      <c r="H16" s="23">
        <f>F16-G16</f>
        <v/>
      </c>
      <c r="I16" s="22" t="n">
        <v>10</v>
      </c>
      <c r="J16" s="22">
        <f>SUMIFS('Leave Management'!F:F,'Leave Management'!A:A,A16,'Leave Management'!C:C,"Casual Leave",'Leave Management'!H:H,"Approved")</f>
        <v/>
      </c>
      <c r="K16" s="23">
        <f>I16-J16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2026-04-23T17:40:46Z</dcterms:created>
  <dcterms:modified xmlns:dcterms="http://purl.org/dc/terms/" xmlns:xsi="http://www.w3.org/2001/XMLSchema-instance" xsi:type="dcterms:W3CDTF">2026-04-23T17:40:46Z</dcterms:modified>
</cp:coreProperties>
</file>